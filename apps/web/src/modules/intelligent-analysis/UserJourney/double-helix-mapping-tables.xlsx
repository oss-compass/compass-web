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七步旅程定义" sheetId="1" state="visible" r:id="rId1"/>
    <sheet xmlns:r="http://schemas.openxmlformats.org/officeDocument/2006/relationships" name="2-主观指标SDX定义" sheetId="2" state="visible" r:id="rId2"/>
    <sheet xmlns:r="http://schemas.openxmlformats.org/officeDocument/2006/relationships" name="3-客观指标OBJ定义" sheetId="3" state="visible" r:id="rId3"/>
    <sheet xmlns:r="http://schemas.openxmlformats.org/officeDocument/2006/relationships" name="4-等级判定定义" sheetId="4" state="visible" r:id="rId4"/>
    <sheet xmlns:r="http://schemas.openxmlformats.org/officeDocument/2006/relationships" name="5-步骤指标归属映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b val="1"/>
      <color rgb="00FFFFFF"/>
      <sz val="10"/>
    </font>
    <font>
      <name val="Consolas"/>
      <b val="1"/>
      <color rgb="005B21B6"/>
      <sz val="10"/>
    </font>
    <font>
      <name val="Arial"/>
      <color rgb="001F2937"/>
      <sz val="10"/>
    </font>
    <font>
      <name val="Consolas"/>
      <color rgb="001E40AF"/>
      <sz val="9"/>
    </font>
    <font>
      <name val="Consolas"/>
      <color rgb="001D4ED8"/>
      <sz val="9"/>
    </font>
    <font>
      <name val="Arial"/>
      <i val="1"/>
      <color rgb="006B7280"/>
      <sz val="9"/>
    </font>
    <font>
      <name val="Arial"/>
      <b val="1"/>
      <sz val="12"/>
    </font>
    <font>
      <name val="Arial"/>
      <b val="1"/>
      <sz val="16"/>
    </font>
    <font>
      <name val="Arial"/>
      <b val="1"/>
      <sz val="10"/>
    </font>
  </fonts>
  <fills count="16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3F4F6"/>
        <bgColor rgb="00F3F4F6"/>
      </patternFill>
    </fill>
    <fill>
      <patternFill patternType="solid">
        <fgColor rgb="007C3AED"/>
        <bgColor rgb="007C3AED"/>
      </patternFill>
    </fill>
    <fill>
      <patternFill patternType="solid">
        <fgColor rgb="000D9488"/>
        <bgColor rgb="000D9488"/>
      </patternFill>
    </fill>
    <fill>
      <patternFill patternType="solid">
        <fgColor rgb="00DBEAFE"/>
        <bgColor rgb="00DBEAFE"/>
      </patternFill>
    </fill>
    <fill>
      <patternFill patternType="solid">
        <fgColor rgb="00CCFBF1"/>
        <bgColor rgb="00CCFBF1"/>
      </patternFill>
    </fill>
    <fill>
      <patternFill patternType="solid">
        <fgColor rgb="00FEF3C7"/>
        <bgColor rgb="00FEF3C7"/>
      </patternFill>
    </fill>
    <fill>
      <patternFill patternType="solid">
        <fgColor rgb="00EDE9FE"/>
        <bgColor rgb="00EDE9FE"/>
      </patternFill>
    </fill>
    <fill>
      <patternFill patternType="solid">
        <fgColor rgb="00B45309"/>
        <bgColor rgb="00B45309"/>
      </patternFill>
    </fill>
    <fill>
      <patternFill patternType="solid">
        <fgColor rgb="00D1FAE5"/>
        <bgColor rgb="00D1FAE5"/>
      </patternFill>
    </fill>
    <fill>
      <patternFill patternType="solid">
        <fgColor rgb="00FED7AA"/>
        <bgColor rgb="00FED7AA"/>
      </patternFill>
    </fill>
    <fill>
      <patternFill patternType="solid">
        <fgColor rgb="00FEE2E2"/>
        <bgColor rgb="00FEE2E2"/>
      </patternFill>
    </fill>
    <fill>
      <patternFill patternType="solid">
        <fgColor rgb="004338CA"/>
        <bgColor rgb="004338CA"/>
      </patternFill>
    </fill>
    <fill>
      <patternFill patternType="solid">
        <fgColor rgb="00E0E7FF"/>
        <bgColor rgb="00E0E7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8" fillId="0" borderId="0" pivotButton="0" quotePrefix="0" xfId="0"/>
    <xf numFmtId="0" fontId="2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top" wrapText="1"/>
    </xf>
    <xf numFmtId="0" fontId="9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42" customWidth="1" min="4" max="4"/>
    <col width="38" customWidth="1" min="5" max="5"/>
    <col width="22" customWidth="1" min="6" max="6"/>
    <col width="32" customWidth="1" min="7" max="7"/>
    <col width="32" customWidth="1" min="8" max="8"/>
  </cols>
  <sheetData>
    <row r="1">
      <c r="A1" s="1" t="inlineStr">
        <is>
          <t>双螺旋诊断框架 — 七步标准化学习旅程定义</t>
        </is>
      </c>
    </row>
    <row r="3">
      <c r="A3" s="2" t="inlineStr">
        <is>
          <t>步骤ID</t>
        </is>
      </c>
      <c r="B3" s="2" t="inlineStr">
        <is>
          <t>步骤名称(中)</t>
        </is>
      </c>
      <c r="C3" s="2" t="inlineStr">
        <is>
          <t>Step Name(EN)</t>
        </is>
      </c>
      <c r="D3" s="2" t="inlineStr">
        <is>
          <t>通用描述</t>
        </is>
      </c>
      <c r="E3" s="2" t="inlineStr">
        <is>
          <t>开发者核心动作</t>
        </is>
      </c>
      <c r="F3" s="2" t="inlineStr">
        <is>
          <t>典型工具/命令</t>
        </is>
      </c>
      <c r="G3" s="2" t="inlineStr">
        <is>
          <t>关联主观指标(SDX)</t>
        </is>
      </c>
      <c r="H3" s="2" t="inlineStr">
        <is>
          <t>关联客观指标(OBJ)</t>
        </is>
      </c>
    </row>
    <row r="4" ht="100" customHeight="1">
      <c r="A4" s="3" t="inlineStr">
        <is>
          <t>S0_DISCOVER</t>
        </is>
      </c>
      <c r="B4" s="4" t="inlineStr">
        <is>
          <t>搜索与发现</t>
        </is>
      </c>
      <c r="C4" s="4" t="inlineStr">
        <is>
          <t>Search &amp; Discover</t>
        </is>
      </c>
      <c r="D4" s="4" t="inlineStr">
        <is>
          <t>通过搜索引擎、社区导航、口碑推荐等方式定位目标项目的仓库地址、Quick Start文档入口</t>
        </is>
      </c>
      <c r="E4" s="4" t="inlineStr">
        <is>
          <t>① 输入搜索关键词
② 浏览搜索结果
③ 识别并确认正确仓库URL
④ 区分同名/近名项目</t>
        </is>
      </c>
      <c r="F4" s="4" t="inlineStr">
        <is>
          <t>Google/Bing搜索
浏览器访问</t>
        </is>
      </c>
      <c r="G4" s="5" t="inlineStr">
        <is>
          <t>SDX_SEARCH_ROUNDS
SDX_SEARCH_TIME_SEC
SDX_SEARCH_DIRECT_HIT_RATE
SDX_NAMING_CONFUSION_COUNT
SDX_PLATFORM_MIGRATION_FRICTION</t>
        </is>
      </c>
      <c r="H4" s="5" t="inlineStr">
        <is>
          <t>OBJ_ROBUST_PLATFORM_REDUNDANCY
OBJ_INNOV_FORK_COUNT
OBJ_INNOV_STAR_GROWTH_RATE</t>
        </is>
      </c>
    </row>
    <row r="5" ht="100" customHeight="1">
      <c r="A5" s="6" t="inlineStr">
        <is>
          <t>S1_COMPREHEND</t>
        </is>
      </c>
      <c r="B5" s="7" t="inlineStr">
        <is>
          <t>理解与导航</t>
        </is>
      </c>
      <c r="C5" s="7" t="inlineStr">
        <is>
          <t>Comprehend &amp; Navigate</t>
        </is>
      </c>
      <c r="D5" s="7" t="inlineStr">
        <is>
          <t>阅读README、QuickStart、项目结构说明，理解文档体系，形成完整的操作路径认知</t>
        </is>
      </c>
      <c r="E5" s="7" t="inlineStr">
        <is>
          <t>① 阅读README.md
② 定位QuickStart文档
③ 解析文档中的超链接
④ 理解项目目录结构
⑤ 识别文档中的外部依赖跳转</t>
        </is>
      </c>
      <c r="F5" s="7" t="inlineStr">
        <is>
          <t>浏览器阅读
Markdown渲染</t>
        </is>
      </c>
      <c r="G5" s="8" t="inlineStr">
        <is>
          <t>SDX_DOC_JUMPS
SDX_DOC_SELF_CONTAINED_RATIO
SDX_DOC_DEAD_LINKS</t>
        </is>
      </c>
      <c r="H5" s="8" t="inlineStr">
        <is>
          <t>OBJ_PROD_DOC_COVERAGE_RATIO
OBJ_ROBUST_DOC_LINK_ALIVE_RATE</t>
        </is>
      </c>
    </row>
    <row r="6" ht="100" customHeight="1">
      <c r="A6" s="3" t="inlineStr">
        <is>
          <t>S2_ENVIRONMENT</t>
        </is>
      </c>
      <c r="B6" s="4" t="inlineStr">
        <is>
          <t>环境准备</t>
        </is>
      </c>
      <c r="C6" s="4" t="inlineStr">
        <is>
          <t>Environment Setup</t>
        </is>
      </c>
      <c r="D6" s="4" t="inlineStr">
        <is>
          <t>获取所需硬件/云环境，安装SDK/工具链/编译器，配置环境变量，确保编译工具链可用</t>
        </is>
      </c>
      <c r="E6" s="4" t="inlineStr">
        <is>
          <t>① 选择硬件路径(本地/云)
② 创建云开发环境(如需)
③ 下载并安装SDK/Toolkit
④ 配置环境变量
⑤ 验证工具链可用(如编译器版本检查)</t>
        </is>
      </c>
      <c r="F6" s="4" t="inlineStr">
        <is>
          <t>云平台Notebook
apt/pip/conda安装
source set_env.sh
nvcc --version</t>
        </is>
      </c>
      <c r="G6" s="5" t="inlineStr">
        <is>
          <t>SDX_ENV_INIT_TIME_SEC
SDX_ENV_PERSISTENCE
SDX_ENV_HARDWARE_COST_USD
SDX_ENV_STEP_COUNT
SDX_ENV_CLOUD_SESSION_LIMIT_SEC</t>
        </is>
      </c>
      <c r="H6" s="5" t="inlineStr">
        <is>
          <t>OBJ_PROD_NEW_CONTRIBUTOR_ONBOARD_DAYS
OBJ_ROBUST_BUILD_REPRODUCIBILITY</t>
        </is>
      </c>
    </row>
    <row r="7" ht="100" customHeight="1">
      <c r="A7" s="6" t="inlineStr">
        <is>
          <t>S3_ACQUIRE</t>
        </is>
      </c>
      <c r="B7" s="7" t="inlineStr">
        <is>
          <t>获取代码</t>
        </is>
      </c>
      <c r="C7" s="7" t="inlineStr">
        <is>
          <t>Acquire Code</t>
        </is>
      </c>
      <c r="D7" s="7" t="inlineStr">
        <is>
          <t>克隆仓库源码，安装项目依赖(Python/C++/CMake等)，解决权限与网络问题</t>
        </is>
      </c>
      <c r="E7" s="7" t="inlineStr">
        <is>
          <t>① git clone仓库
② 设置文件权限
③ 安装requirements/依赖
④ 处理网络超时/重试</t>
        </is>
      </c>
      <c r="F7" s="7" t="inlineStr">
        <is>
          <t>git clone
chmod
pip install -r
cmake dependency</t>
        </is>
      </c>
      <c r="G7" s="8" t="inlineStr">
        <is>
          <t>SDX_CLONE_SUCCESS_RATE
SDX_DEPENDENCY_TRANSPARENCY</t>
        </is>
      </c>
      <c r="H7" s="8" t="inlineStr">
        <is>
          <t>OBJ_ROBUST_DEPENDENCY_FRESHNESS</t>
        </is>
      </c>
    </row>
    <row r="8" ht="100" customHeight="1">
      <c r="A8" s="3" t="inlineStr">
        <is>
          <t>S4_BUILD</t>
        </is>
      </c>
      <c r="B8" s="4" t="inlineStr">
        <is>
          <t>编译构建</t>
        </is>
      </c>
      <c r="C8" s="4" t="inlineStr">
        <is>
          <t>Build &amp; Compile</t>
        </is>
      </c>
      <c r="D8" s="4" t="inlineStr">
        <is>
          <t>执行构建脚本/命令，编译算子或示例代码，处理编译错误，生成可部署产物</t>
        </is>
      </c>
      <c r="E8" s="4" t="inlineStr">
        <is>
          <t>① 阅读构建参数说明
② 选择目标芯片/架构
③ 执行构建命令
④ 诊断编译错误
⑤ 确认构建产物生成</t>
        </is>
      </c>
      <c r="F8" s="4" t="inlineStr">
        <is>
          <t>./build.sh --pkg
cmake .. &amp;&amp; make
nvcc *.cu</t>
        </is>
      </c>
      <c r="G8" s="5" t="inlineStr">
        <is>
          <t>SDX_BUILD_TIME_SEC
SDX_BUILD_PARAM_COUNT
SDX_BUILD_ERROR_DIAGNOSABILITY</t>
        </is>
      </c>
      <c r="H8" s="5" t="inlineStr">
        <is>
          <t>OBJ_PROD_CI_PASS_RATE
OBJ_PROD_COMMIT_FREQ</t>
        </is>
      </c>
    </row>
    <row r="9" ht="100" customHeight="1">
      <c r="A9" s="6" t="inlineStr">
        <is>
          <t>S5_DEPLOY</t>
        </is>
      </c>
      <c r="B9" s="7" t="inlineStr">
        <is>
          <t>部署安装</t>
        </is>
      </c>
      <c r="C9" s="7" t="inlineStr">
        <is>
          <t>Deploy &amp; Install</t>
        </is>
      </c>
      <c r="D9" s="7" t="inlineStr">
        <is>
          <t>将构建产物安装/注册到目标运行环境，确认算子/模块可被上层框架识别</t>
        </is>
      </c>
      <c r="E9" s="7" t="inlineStr">
        <is>
          <t>① 执行安装命令(.run/make install)
② 确认安装路径正确
③ 验证算子/模块已注册
④ 检查版本兼容性</t>
        </is>
      </c>
      <c r="F9" s="7" t="inlineStr">
        <is>
          <t>.run安装包执行
make install
环境变量更新</t>
        </is>
      </c>
      <c r="G9" s="8" t="inlineStr">
        <is>
          <t>SDX_DEPLOY_VERIFY_AVAILABLE
SDX_DEPLOY_IDEMPOTENT</t>
        </is>
      </c>
      <c r="H9" s="8" t="inlineStr">
        <is>
          <t>OBJ_PROD_RELEASE_FREQ
OBJ_ROBUST_SECURITY_ADVISORY_COUNT</t>
        </is>
      </c>
    </row>
    <row r="10" ht="100" customHeight="1">
      <c r="A10" s="3" t="inlineStr">
        <is>
          <t>S6_VERIFY</t>
        </is>
      </c>
      <c r="B10" s="4" t="inlineStr">
        <is>
          <t>运行验证</t>
        </is>
      </c>
      <c r="C10" s="4" t="inlineStr">
        <is>
          <t>Run &amp; Verify</t>
        </is>
      </c>
      <c r="D10" s="4" t="inlineStr">
        <is>
          <t>运行示例程序或测试用例，确认功能正确、精度达标，端到端流程成功</t>
        </is>
      </c>
      <c r="E10" s="4" t="inlineStr">
        <is>
          <t>① 选择运行模式
② 执行示例程序
③ 检查输出结果
④ 对比精度/预期
⑤ 确认端到端成功</t>
        </is>
      </c>
      <c r="F10" s="4" t="inlineStr">
        <is>
          <t>./build.sh --run_example
./vectorAdd
pytest
ctest</t>
        </is>
      </c>
      <c r="G10" s="5" t="inlineStr">
        <is>
          <t>SDX_RUN_MODE_COMBINATIONS
SDX_RUN_OUTPUT_READABILITY
SDX_E2E_TOTAL_TIME_SEC
SDX_E2E_SUCCESS_RATE</t>
        </is>
      </c>
      <c r="H10" s="5" t="inlineStr">
        <is>
          <t>OBJ_INNOV_EXTERNAL_CONTRIBUTOR_RATIO
OBJ_INNOV_FEATURE_VELOCITY
OBJ_INNOV_ECOSYSTEM_INTEGRATION_COUNT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C3AED"/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2" customWidth="1" min="3" max="3"/>
    <col width="12" customWidth="1" min="4" max="4"/>
    <col width="40" customWidth="1" min="5" max="5"/>
    <col width="36" customWidth="1" min="6" max="6"/>
    <col width="16" customWidth="1" min="7" max="7"/>
    <col width="52" customWidth="1" min="8" max="8"/>
    <col width="26" customWidth="1" min="9" max="9"/>
  </cols>
  <sheetData>
    <row r="1">
      <c r="A1" s="1" t="inlineStr">
        <is>
          <t>主观体验指标 (SDX — Subjective Developer Experience) 完整定义与评分公式</t>
        </is>
      </c>
    </row>
    <row r="3">
      <c r="A3" s="9" t="inlineStr">
        <is>
          <t>指标ID</t>
        </is>
      </c>
      <c r="B3" s="9" t="inlineStr">
        <is>
          <t>指标名称(中)</t>
        </is>
      </c>
      <c r="C3" s="9" t="inlineStr">
        <is>
          <t>Metric Name(EN)</t>
        </is>
      </c>
      <c r="D3" s="9" t="inlineStr">
        <is>
          <t>归属步骤</t>
        </is>
      </c>
      <c r="E3" s="9" t="inlineStr">
        <is>
          <t>描述</t>
        </is>
      </c>
      <c r="F3" s="9" t="inlineStr">
        <is>
          <t>Agent采集方式</t>
        </is>
      </c>
      <c r="G3" s="9" t="inlineStr">
        <is>
          <t>量纲</t>
        </is>
      </c>
      <c r="H3" s="9" t="inlineStr">
        <is>
          <t>评分公式 (0-100, 100=最佳体验)</t>
        </is>
      </c>
      <c r="I3" s="9" t="inlineStr">
        <is>
          <t>备注</t>
        </is>
      </c>
    </row>
    <row r="4" ht="72" customHeight="1">
      <c r="A4" s="5" t="inlineStr">
        <is>
          <t>SDX_SEARCH_ROUNDS</t>
        </is>
      </c>
      <c r="B4" s="4" t="inlineStr">
        <is>
          <t>搜索轮次</t>
        </is>
      </c>
      <c r="C4" s="4" t="inlineStr">
        <is>
          <t>Search Rounds</t>
        </is>
      </c>
      <c r="D4" s="3" t="inlineStr">
        <is>
          <t>S0</t>
        </is>
      </c>
      <c r="E4" s="4" t="inlineStr">
        <is>
          <t>从首次搜索到确认正确仓库URL的独立检索轮数（不同搜索词/策略算一轮）</t>
        </is>
      </c>
      <c r="F4" s="4" t="inlineStr">
        <is>
          <t>Agent记录每次web_search调用次数</t>
        </is>
      </c>
      <c r="G4" s="4" t="inlineStr">
        <is>
          <t>count (次)</t>
        </is>
      </c>
      <c r="H4" s="10" t="inlineStr">
        <is>
          <t>score = max(0, 100 - (rounds - 1) × 25)
1轮=100, 2轮=75, 3轮=50, 4轮=25, ≥5轮=0</t>
        </is>
      </c>
      <c r="I4" s="11" t="inlineStr">
        <is>
          <t>基准值: 1轮</t>
        </is>
      </c>
    </row>
    <row r="5" ht="72" customHeight="1">
      <c r="A5" s="8" t="inlineStr">
        <is>
          <t>SDX_SEARCH_TIME_SEC</t>
        </is>
      </c>
      <c r="B5" s="7" t="inlineStr">
        <is>
          <t>搜索耗时</t>
        </is>
      </c>
      <c r="C5" s="7" t="inlineStr">
        <is>
          <t>Search Time</t>
        </is>
      </c>
      <c r="D5" s="6" t="inlineStr">
        <is>
          <t>S0</t>
        </is>
      </c>
      <c r="E5" s="7" t="inlineStr">
        <is>
          <t>从首次输入搜索词到最终确认仓库URL的总耗时（秒）</t>
        </is>
      </c>
      <c r="F5" s="7" t="inlineStr">
        <is>
          <t>Agent记录首次搜索到确认URL的时间差</t>
        </is>
      </c>
      <c r="G5" s="7" t="inlineStr">
        <is>
          <t>seconds (秒)</t>
        </is>
      </c>
      <c r="H5" s="12" t="inlineStr">
        <is>
          <t>&lt;60s=100, &lt;180s=75, &lt;300s=50, &lt;600s=25, ≥600s=0</t>
        </is>
      </c>
      <c r="I5" s="13" t="inlineStr">
        <is>
          <t>含阅读搜索结果的时间</t>
        </is>
      </c>
    </row>
    <row r="6" ht="72" customHeight="1">
      <c r="A6" s="5" t="inlineStr">
        <is>
          <t>SDX_SEARCH_DIRECT_HIT_RATE</t>
        </is>
      </c>
      <c r="B6" s="4" t="inlineStr">
        <is>
          <t>搜索直达率</t>
        </is>
      </c>
      <c r="C6" s="4" t="inlineStr">
        <is>
          <t>Direct Hit Rate</t>
        </is>
      </c>
      <c r="D6" s="3" t="inlineStr">
        <is>
          <t>S0</t>
        </is>
      </c>
      <c r="E6" s="4" t="inlineStr">
        <is>
          <t>首次搜索结果中是否包含目标仓库的直接链接（git clone地址或仓库主页URL）</t>
        </is>
      </c>
      <c r="F6" s="4" t="inlineStr">
        <is>
          <t>Agent判断首次搜索结果前10条是否包含目标URL</t>
        </is>
      </c>
      <c r="G6" s="4" t="inlineStr">
        <is>
          <t>percentage (%)</t>
        </is>
      </c>
      <c r="H6" s="10" t="inlineStr">
        <is>
          <t>直接使用百分比值作为评分
100%=100, 0%=0</t>
        </is>
      </c>
      <c r="I6" s="11" t="inlineStr">
        <is>
          <t>关键体验指标</t>
        </is>
      </c>
    </row>
    <row r="7" ht="72" customHeight="1">
      <c r="A7" s="8" t="inlineStr">
        <is>
          <t>SDX_NAMING_CONFUSION_COUNT</t>
        </is>
      </c>
      <c r="B7" s="7" t="inlineStr">
        <is>
          <t>命名混淆数</t>
        </is>
      </c>
      <c r="C7" s="7" t="inlineStr">
        <is>
          <t>Naming Confusion</t>
        </is>
      </c>
      <c r="D7" s="6" t="inlineStr">
        <is>
          <t>S0</t>
        </is>
      </c>
      <c r="E7" s="7" t="inlineStr">
        <is>
          <t>搜索过程中遇到的与目标项目易混淆的名称数量（同名/近名/旧名/子项目名）</t>
        </is>
      </c>
      <c r="F7" s="7" t="inlineStr">
        <is>
          <t>Agent记录搜索过程中产生歧义的不同名称</t>
        </is>
      </c>
      <c r="G7" s="7" t="inlineStr">
        <is>
          <t>count (个)</t>
        </is>
      </c>
      <c r="H7" s="12" t="inlineStr">
        <is>
          <t>score = max(0, 100 - confusion × 20)
0个=100, 1个=80, 2个=60, 3个=40, ≥5个=0</t>
        </is>
      </c>
      <c r="I7" s="13" t="inlineStr">
        <is>
          <t>例: cann-ops ≠ ops-math</t>
        </is>
      </c>
    </row>
    <row r="8" ht="72" customHeight="1">
      <c r="A8" s="5" t="inlineStr">
        <is>
          <t>SDX_PLATFORM_MIGRATION_FRICTION</t>
        </is>
      </c>
      <c r="B8" s="4" t="inlineStr">
        <is>
          <t>平台迁移摩擦</t>
        </is>
      </c>
      <c r="C8" s="4" t="inlineStr">
        <is>
          <t>Platform Migration Friction</t>
        </is>
      </c>
      <c r="D8" s="3" t="inlineStr">
        <is>
          <t>S0</t>
        </is>
      </c>
      <c r="E8" s="4" t="inlineStr">
        <is>
          <t>因项目跨平台迁移（如Gitee→GitCode）导致的信息断裂程度（0=无迁移，100=完全断裂）</t>
        </is>
      </c>
      <c r="F8" s="4" t="inlineStr">
        <is>
          <t>Agent评估: 旧平台有无重定向、迁移公告可见性、搜索结果中新旧混杂程度</t>
        </is>
      </c>
      <c r="G8" s="4" t="inlineStr">
        <is>
          <t>0-100 scale</t>
        </is>
      </c>
      <c r="H8" s="10" t="inlineStr">
        <is>
          <t>score = 100 - friction_value
无迁移: 100, 有公告+重定向: 70, 仅文字公告: 40, 无任何提示: 0</t>
        </is>
      </c>
      <c r="I8" s="11" t="inlineStr">
        <is>
          <t>新兴项目特有指标</t>
        </is>
      </c>
    </row>
    <row r="9" ht="72" customHeight="1">
      <c r="A9" s="8" t="inlineStr">
        <is>
          <t>SDX_DOC_JUMPS</t>
        </is>
      </c>
      <c r="B9" s="7" t="inlineStr">
        <is>
          <t>文档跳转数</t>
        </is>
      </c>
      <c r="C9" s="7" t="inlineStr">
        <is>
          <t>Doc Domain Jumps</t>
        </is>
      </c>
      <c r="D9" s="6" t="inlineStr">
        <is>
          <t>S1</t>
        </is>
      </c>
      <c r="E9" s="7" t="inlineStr">
        <is>
          <t>完成Quick Start全流程需跨越的不同域名（或独立文档站点）数量</t>
        </is>
      </c>
      <c r="F9" s="7" t="inlineStr">
        <is>
          <t>Agent记录阅读QuickStart时访问的不同域名数</t>
        </is>
      </c>
      <c r="G9" s="7" t="inlineStr">
        <is>
          <t>count (个域名)</t>
        </is>
      </c>
      <c r="H9" s="12" t="inlineStr">
        <is>
          <t>score = max(0, 100 - jumps × 15)
1个域名=100, 2个=85, 3个=70, 4个=55, 5个=40, ≥7个=0</t>
        </is>
      </c>
      <c r="I9" s="13" t="inlineStr">
        <is>
          <t>不同子域名算同一域名</t>
        </is>
      </c>
    </row>
    <row r="10" ht="72" customHeight="1">
      <c r="A10" s="5" t="inlineStr">
        <is>
          <t>SDX_DOC_SELF_CONTAINED_RATIO</t>
        </is>
      </c>
      <c r="B10" s="4" t="inlineStr">
        <is>
          <t>文档自包含度</t>
        </is>
      </c>
      <c r="C10" s="4" t="inlineStr">
        <is>
          <t>Doc Self-Contained Ratio</t>
        </is>
      </c>
      <c r="D10" s="3" t="inlineStr">
        <is>
          <t>S1</t>
        </is>
      </c>
      <c r="E10" s="4" t="inlineStr">
        <is>
          <t>QuickStart文档中，可直接在文档内完成（无需外跳）的步骤数占总步骤数的比例</t>
        </is>
      </c>
      <c r="F10" s="4" t="inlineStr">
        <is>
          <t>Agent统计: 内部可完成步骤 / 总步骤 × 100%</t>
        </is>
      </c>
      <c r="G10" s="4" t="inlineStr">
        <is>
          <t>percentage (%)</t>
        </is>
      </c>
      <c r="H10" s="10" t="inlineStr">
        <is>
          <t>直接使用百分比值作为评分
100%=100, 50%=50, 0%=0</t>
        </is>
      </c>
      <c r="I10" s="11" t="inlineStr">
        <is>
          <t>越高越好，目标&gt;80%</t>
        </is>
      </c>
    </row>
    <row r="11" ht="72" customHeight="1">
      <c r="A11" s="8" t="inlineStr">
        <is>
          <t>SDX_DOC_DEAD_LINKS</t>
        </is>
      </c>
      <c r="B11" s="7" t="inlineStr">
        <is>
          <t>死链数</t>
        </is>
      </c>
      <c r="C11" s="7" t="inlineStr">
        <is>
          <t>Dead Links</t>
        </is>
      </c>
      <c r="D11" s="6" t="inlineStr">
        <is>
          <t>S1</t>
        </is>
      </c>
      <c r="E11" s="7" t="inlineStr">
        <is>
          <t>QuickStart文档及README中不可访问（HTTP 404/403/超时）的超链接数量</t>
        </is>
      </c>
      <c r="F11" s="7" t="inlineStr">
        <is>
          <t>Agent逐一访问文档中每个URL，记录失败数</t>
        </is>
      </c>
      <c r="G11" s="7" t="inlineStr">
        <is>
          <t>count (个)</t>
        </is>
      </c>
      <c r="H11" s="12" t="inlineStr">
        <is>
          <t>score = max(0, 100 - dead × 20)
0个=100, 1个=80, 2个=60, 3个=40, ≥5个=0</t>
        </is>
      </c>
      <c r="I11" s="13" t="inlineStr">
        <is>
          <t>每季度应检查一次</t>
        </is>
      </c>
    </row>
    <row r="12" ht="72" customHeight="1">
      <c r="A12" s="5" t="inlineStr">
        <is>
          <t>SDX_ENV_INIT_TIME_SEC</t>
        </is>
      </c>
      <c r="B12" s="4" t="inlineStr">
        <is>
          <t>环境初始化耗时</t>
        </is>
      </c>
      <c r="C12" s="4" t="inlineStr">
        <is>
          <t>Env Init Time</t>
        </is>
      </c>
      <c r="D12" s="3" t="inlineStr">
        <is>
          <t>S2</t>
        </is>
      </c>
      <c r="E12" s="4" t="inlineStr">
        <is>
          <t>从空环境（或新建云实例）到编译器/工具链完全可用的总配置时间（秒）</t>
        </is>
      </c>
      <c r="F12" s="4" t="inlineStr">
        <is>
          <t>Agent记录从开始配置到'编译器 --version'成功的总时间</t>
        </is>
      </c>
      <c r="G12" s="4" t="inlineStr">
        <is>
          <t>seconds (秒)</t>
        </is>
      </c>
      <c r="H12" s="10" t="inlineStr">
        <is>
          <t>&lt;120s=100, &lt;300s=75, &lt;600s=50, &lt;1200s=35, &lt;1800s=25, ≥1800s=0</t>
        </is>
      </c>
      <c r="I12" s="11" t="inlineStr">
        <is>
          <t>含下载、安装、环境变量配置</t>
        </is>
      </c>
    </row>
    <row r="13" ht="72" customHeight="1">
      <c r="A13" s="8" t="inlineStr">
        <is>
          <t>SDX_ENV_PERSISTENCE</t>
        </is>
      </c>
      <c r="B13" s="7" t="inlineStr">
        <is>
          <t>环境持久化</t>
        </is>
      </c>
      <c r="C13" s="7" t="inlineStr">
        <is>
          <t>Env Persistence</t>
        </is>
      </c>
      <c r="D13" s="6" t="inlineStr">
        <is>
          <t>S2</t>
        </is>
      </c>
      <c r="E13" s="7" t="inlineStr">
        <is>
          <t>环境配置（已安装的SDK/工具链）是否可跨会话/重启保留</t>
        </is>
      </c>
      <c r="F13" s="7" t="inlineStr">
        <is>
          <t>Agent测试: 关闭会话后重新打开，检查工具链是否仍可用</t>
        </is>
      </c>
      <c r="G13" s="7" t="inlineStr">
        <is>
          <t>boolean</t>
        </is>
      </c>
      <c r="H13" s="12" t="inlineStr">
        <is>
          <t>true=100, false=30</t>
        </is>
      </c>
      <c r="I13" s="13" t="inlineStr">
        <is>
          <t>云环境的核心痛点</t>
        </is>
      </c>
    </row>
    <row r="14" ht="72" customHeight="1">
      <c r="A14" s="5" t="inlineStr">
        <is>
          <t>SDX_ENV_HARDWARE_COST_USD</t>
        </is>
      </c>
      <c r="B14" s="4" t="inlineStr">
        <is>
          <t>硬件最低成本</t>
        </is>
      </c>
      <c r="C14" s="4" t="inlineStr">
        <is>
          <t>Min Hardware Cost</t>
        </is>
      </c>
      <c r="D14" s="3" t="inlineStr">
        <is>
          <t>S2</t>
        </is>
      </c>
      <c r="E14" s="4" t="inlineStr">
        <is>
          <t>获取可运行目标代码的开发硬件（含云环境）的最低成本（美元）</t>
        </is>
      </c>
      <c r="F14" s="4" t="inlineStr">
        <is>
          <t>Agent调研: 本地硬件价格/云环境费用/免费方案</t>
        </is>
      </c>
      <c r="G14" s="4" t="inlineStr">
        <is>
          <t>USD ($)</t>
        </is>
      </c>
      <c r="H14" s="10" t="inlineStr">
        <is>
          <t>$0(免费)=100, &lt;$100=80, &lt;$1000=50, &lt;$10000=20, ≥$10000=0</t>
        </is>
      </c>
      <c r="I14" s="11" t="inlineStr">
        <is>
          <t>免费云环境算$0</t>
        </is>
      </c>
    </row>
    <row r="15" ht="72" customHeight="1">
      <c r="A15" s="8" t="inlineStr">
        <is>
          <t>SDX_ENV_STEP_COUNT</t>
        </is>
      </c>
      <c r="B15" s="7" t="inlineStr">
        <is>
          <t>环境配置步数</t>
        </is>
      </c>
      <c r="C15" s="7" t="inlineStr">
        <is>
          <t>Env Setup Steps</t>
        </is>
      </c>
      <c r="D15" s="6" t="inlineStr">
        <is>
          <t>S2</t>
        </is>
      </c>
      <c r="E15" s="7" t="inlineStr">
        <is>
          <t>从零到环境完全就绪所需的独立操作步骤数（每条命令或每个GUI操作算一步）</t>
        </is>
      </c>
      <c r="F15" s="7" t="inlineStr">
        <is>
          <t>Agent计数每条独立命令/操作</t>
        </is>
      </c>
      <c r="G15" s="7" t="inlineStr">
        <is>
          <t>count (步)</t>
        </is>
      </c>
      <c r="H15" s="12" t="inlineStr">
        <is>
          <t>score = max(0, 100 - (steps - 2) × 10)
2步=100, 3步=90, 5步=70, 8步=40, ≥12步=0</t>
        </is>
      </c>
      <c r="I15" s="13" t="inlineStr">
        <is>
          <t>2步为理论最优(安装+验证)</t>
        </is>
      </c>
    </row>
    <row r="16" ht="72" customHeight="1">
      <c r="A16" s="5" t="inlineStr">
        <is>
          <t>SDX_ENV_CLOUD_SESSION_LIMIT_SEC</t>
        </is>
      </c>
      <c r="B16" s="4" t="inlineStr">
        <is>
          <t>云环境时限</t>
        </is>
      </c>
      <c r="C16" s="4" t="inlineStr">
        <is>
          <t>Cloud Session Limit</t>
        </is>
      </c>
      <c r="D16" s="3" t="inlineStr">
        <is>
          <t>S2</t>
        </is>
      </c>
      <c r="E16" s="4" t="inlineStr">
        <is>
          <t>云开发环境的单次连续会话最大时长限制（秒），unlimited=无限</t>
        </is>
      </c>
      <c r="F16" s="4" t="inlineStr">
        <is>
          <t>Agent查阅云平台文档或测试超时行为</t>
        </is>
      </c>
      <c r="G16" s="4" t="inlineStr">
        <is>
          <t>seconds (秒)</t>
        </is>
      </c>
      <c r="H16" s="10" t="inlineStr">
        <is>
          <t>unlimited=100, &gt;43200(12h)=85, &gt;14400(4h)=70, &gt;7200(2h)=60, &gt;3600(1h)=30, ≤3600=0</t>
        </is>
      </c>
      <c r="I16" s="11" t="inlineStr">
        <is>
          <t>超时后是否保留状态另计</t>
        </is>
      </c>
    </row>
    <row r="17" ht="72" customHeight="1">
      <c r="A17" s="8" t="inlineStr">
        <is>
          <t>SDX_CLONE_SUCCESS_RATE</t>
        </is>
      </c>
      <c r="B17" s="7" t="inlineStr">
        <is>
          <t>克隆成功率</t>
        </is>
      </c>
      <c r="C17" s="7" t="inlineStr">
        <is>
          <t>Clone Success Rate</t>
        </is>
      </c>
      <c r="D17" s="6" t="inlineStr">
        <is>
          <t>S3</t>
        </is>
      </c>
      <c r="E17" s="7" t="inlineStr">
        <is>
          <t>首次执行git clone命令在标准网络环境下成功的概率</t>
        </is>
      </c>
      <c r="F17" s="7" t="inlineStr">
        <is>
          <t>Agent在3个不同网络环境下测试clone，统计成功率</t>
        </is>
      </c>
      <c r="G17" s="7" t="inlineStr">
        <is>
          <t>percentage (%)</t>
        </is>
      </c>
      <c r="H17" s="12" t="inlineStr">
        <is>
          <t>直接使用百分比值作为评分
100%=100, 90%=90, 50%=50</t>
        </is>
      </c>
      <c r="I17" s="13" t="inlineStr">
        <is>
          <t>GitCode/Gitee海外可达性差会拉低</t>
        </is>
      </c>
    </row>
    <row r="18" ht="72" customHeight="1">
      <c r="A18" s="5" t="inlineStr">
        <is>
          <t>SDX_DEPENDENCY_TRANSPARENCY</t>
        </is>
      </c>
      <c r="B18" s="4" t="inlineStr">
        <is>
          <t>依赖透明度</t>
        </is>
      </c>
      <c r="C18" s="4" t="inlineStr">
        <is>
          <t>Dependency Transparency</t>
        </is>
      </c>
      <c r="D18" s="3" t="inlineStr">
        <is>
          <t>S3</t>
        </is>
      </c>
      <c r="E18" s="4" t="inlineStr">
        <is>
          <t>项目依赖是否在文档中明确列出、版本是否锁定、是否有冲突风险说明</t>
        </is>
      </c>
      <c r="F18" s="4" t="inlineStr">
        <is>
          <t>Agent检查: ① requirements.txt/CMakeLists存在? ② 版本号是否精确? ③ 文档是否列出依赖?</t>
        </is>
      </c>
      <c r="G18" s="4" t="inlineStr">
        <is>
          <t>0-100 scale</t>
        </is>
      </c>
      <c r="H18" s="10" t="inlineStr">
        <is>
          <t>三项全满足=100
有锁文件+文档列出=80
有依赖文件但无版本锁定=50
仅有依赖文件=30
无依赖声明=0</t>
        </is>
      </c>
      <c r="I18" s="11" t="inlineStr">
        <is>
          <t>lock file (如poetry.lock)加分</t>
        </is>
      </c>
    </row>
    <row r="19" ht="72" customHeight="1">
      <c r="A19" s="8" t="inlineStr">
        <is>
          <t>SDX_BUILD_TIME_SEC</t>
        </is>
      </c>
      <c r="B19" s="7" t="inlineStr">
        <is>
          <t>编译耗时</t>
        </is>
      </c>
      <c r="C19" s="7" t="inlineStr">
        <is>
          <t>Build Time</t>
        </is>
      </c>
      <c r="D19" s="6" t="inlineStr">
        <is>
          <t>S4</t>
        </is>
      </c>
      <c r="E19" s="7" t="inlineStr">
        <is>
          <t>首次编译Quick Start示例算子/程序的总耗时（从执行构建命令到构建产物生成）</t>
        </is>
      </c>
      <c r="F19" s="7" t="inlineStr">
        <is>
          <t>Agent记录build命令的执行时间</t>
        </is>
      </c>
      <c r="G19" s="7" t="inlineStr">
        <is>
          <t>seconds (秒)</t>
        </is>
      </c>
      <c r="H19" s="12" t="inlineStr">
        <is>
          <t>&lt;60s=100, &lt;180s=75, &lt;480s=50, &lt;900s=25, ≥900s=0</t>
        </is>
      </c>
      <c r="I19" s="13" t="inlineStr">
        <is>
          <t>不含环境配置时间</t>
        </is>
      </c>
    </row>
    <row r="20" ht="72" customHeight="1">
      <c r="A20" s="5" t="inlineStr">
        <is>
          <t>SDX_BUILD_PARAM_COUNT</t>
        </is>
      </c>
      <c r="B20" s="4" t="inlineStr">
        <is>
          <t>构建参数数</t>
        </is>
      </c>
      <c r="C20" s="4" t="inlineStr">
        <is>
          <t>Build Param Count</t>
        </is>
      </c>
      <c r="D20" s="3" t="inlineStr">
        <is>
          <t>S4</t>
        </is>
      </c>
      <c r="E20" s="4" t="inlineStr">
        <is>
          <t>构建脚本/命令支持的可选参数总数（通过--help统计）</t>
        </is>
      </c>
      <c r="F20" s="4" t="inlineStr">
        <is>
          <t>Agent解析build.sh --help或CMakeLists.txt中的选项数</t>
        </is>
      </c>
      <c r="G20" s="4" t="inlineStr">
        <is>
          <t>count (个)</t>
        </is>
      </c>
      <c r="H20" s="10" t="inlineStr">
        <is>
          <t>&lt;5=100, &lt;10=75, &lt;20=50, &lt;30=25, ≥30=0</t>
        </is>
      </c>
      <c r="I20" s="11" t="inlineStr">
        <is>
          <t>参数多≠体验差，关键看Quick Start是否标注最小命令</t>
        </is>
      </c>
    </row>
    <row r="21" ht="72" customHeight="1">
      <c r="A21" s="8" t="inlineStr">
        <is>
          <t>SDX_BUILD_ERROR_DIAGNOSABILITY</t>
        </is>
      </c>
      <c r="B21" s="7" t="inlineStr">
        <is>
          <t>报错可诊断性</t>
        </is>
      </c>
      <c r="C21" s="7" t="inlineStr">
        <is>
          <t>Error Diagnosability</t>
        </is>
      </c>
      <c r="D21" s="6" t="inlineStr">
        <is>
          <t>S4</t>
        </is>
      </c>
      <c r="E21" s="7" t="inlineStr">
        <is>
          <t>编译失败时，错误信息是否包含：① 错误根因 ② 修复建议 ③ 相关文档链接</t>
        </is>
      </c>
      <c r="F21" s="7" t="inlineStr">
        <is>
          <t>Agent故意触发常见错误（如不source环境变量），评估报错信息质量</t>
        </is>
      </c>
      <c r="G21" s="7" t="inlineStr">
        <is>
          <t>0-100 scale</t>
        </is>
      </c>
      <c r="H21" s="12" t="inlineStr">
        <is>
          <t>含根因+修复命令+文档链接=100
含根因+修复命令=80
含根因但无修复建议=50
仅有错误码/堆栈=25
无有效信息=0</t>
        </is>
      </c>
      <c r="I21" s="13" t="inlineStr">
        <is>
          <t>可通过在build.sh中加预检逻辑改善</t>
        </is>
      </c>
    </row>
    <row r="22" ht="72" customHeight="1">
      <c r="A22" s="5" t="inlineStr">
        <is>
          <t>SDX_DEPLOY_VERIFY_AVAILABLE</t>
        </is>
      </c>
      <c r="B22" s="4" t="inlineStr">
        <is>
          <t>部署验证可用</t>
        </is>
      </c>
      <c r="C22" s="4" t="inlineStr">
        <is>
          <t>Deploy Verify Available</t>
        </is>
      </c>
      <c r="D22" s="3" t="inlineStr">
        <is>
          <t>S5</t>
        </is>
      </c>
      <c r="E22" s="4" t="inlineStr">
        <is>
          <t>安装/部署完成后，是否提供验证命令/工具确认部署成功（如列出已注册算子）</t>
        </is>
      </c>
      <c r="F22" s="4" t="inlineStr">
        <is>
          <t>Agent查找文档中的部署验证步骤</t>
        </is>
      </c>
      <c r="G22" s="4" t="inlineStr">
        <is>
          <t>boolean</t>
        </is>
      </c>
      <c r="H22" s="10" t="inlineStr">
        <is>
          <t>true=100, false=40</t>
        </is>
      </c>
      <c r="I22" s="11" t="inlineStr">
        <is>
          <t>最简验证: 列出已安装算子列表</t>
        </is>
      </c>
    </row>
    <row r="23" ht="72" customHeight="1">
      <c r="A23" s="8" t="inlineStr">
        <is>
          <t>SDX_DEPLOY_IDEMPOTENT</t>
        </is>
      </c>
      <c r="B23" s="7" t="inlineStr">
        <is>
          <t>部署幂等性</t>
        </is>
      </c>
      <c r="C23" s="7" t="inlineStr">
        <is>
          <t>Deploy Idempotent</t>
        </is>
      </c>
      <c r="D23" s="6" t="inlineStr">
        <is>
          <t>S5</t>
        </is>
      </c>
      <c r="E23" s="7" t="inlineStr">
        <is>
          <t>重复执行安装/部署命令是否安全（不会产生冲突、不会破坏已有配置）</t>
        </is>
      </c>
      <c r="F23" s="7" t="inlineStr">
        <is>
          <t>Agent连续两次执行安装命令，检查是否报错或异常</t>
        </is>
      </c>
      <c r="G23" s="7" t="inlineStr">
        <is>
          <t>boolean</t>
        </is>
      </c>
      <c r="H23" s="12" t="inlineStr">
        <is>
          <t>true=100, false=50</t>
        </is>
      </c>
      <c r="I23" s="13" t="inlineStr">
        <is>
          <t>文档应明确说明重复安装行为</t>
        </is>
      </c>
    </row>
    <row r="24" ht="72" customHeight="1">
      <c r="A24" s="5" t="inlineStr">
        <is>
          <t>SDX_RUN_MODE_COMBINATIONS</t>
        </is>
      </c>
      <c r="B24" s="4" t="inlineStr">
        <is>
          <t>运行模式组合数</t>
        </is>
      </c>
      <c r="C24" s="4" t="inlineStr">
        <is>
          <t>Run Mode Combos</t>
        </is>
      </c>
      <c r="D24" s="3" t="inlineStr">
        <is>
          <t>S6</t>
        </is>
      </c>
      <c r="E24" s="4" t="inlineStr">
        <is>
          <t>Quick Start中需理解的运行模式种类数（如eager/graph × 内置/自定义 × debug/release）</t>
        </is>
      </c>
      <c r="F24" s="4" t="inlineStr">
        <is>
          <t>Agent统计Quick Start中提及的不同运行方式</t>
        </is>
      </c>
      <c r="G24" s="4" t="inlineStr">
        <is>
          <t>count (种)</t>
        </is>
      </c>
      <c r="H24" s="10" t="inlineStr">
        <is>
          <t>1种=100, 2种=80, 3-4种=60, 5-8种=40, &gt;8种=20</t>
        </is>
      </c>
      <c r="I24" s="11" t="inlineStr">
        <is>
          <t>Quick Start应只推荐1种"最简"模式</t>
        </is>
      </c>
    </row>
    <row r="25" ht="72" customHeight="1">
      <c r="A25" s="8" t="inlineStr">
        <is>
          <t>SDX_RUN_OUTPUT_READABILITY</t>
        </is>
      </c>
      <c r="B25" s="7" t="inlineStr">
        <is>
          <t>运行输出可读性</t>
        </is>
      </c>
      <c r="C25" s="7" t="inlineStr">
        <is>
          <t>Output Readability</t>
        </is>
      </c>
      <c r="D25" s="6" t="inlineStr">
        <is>
          <t>S6</t>
        </is>
      </c>
      <c r="E25" s="7" t="inlineStr">
        <is>
          <t>运行示例程序后，输出信息是否能让开发者立即判断成功/失败及原因</t>
        </is>
      </c>
      <c r="F25" s="7" t="inlineStr">
        <is>
          <t>Agent评估: ① 有明确PASS/FAIL标志? ② 有精度对比结果? ③ 失败时有诊断信息?</t>
        </is>
      </c>
      <c r="G25" s="7" t="inlineStr">
        <is>
          <t>0-100 scale</t>
        </is>
      </c>
      <c r="H25" s="12" t="inlineStr">
        <is>
          <t>明确PASS/FAIL+精度结果+失败诊断=100
PASS/FAIL标志+部分结果=75
需要人工判读输出=50
输出混杂难以判断=25</t>
        </is>
      </c>
      <c r="I25" s="13" t="inlineStr">
        <is>
          <t>"Test PASSED" vs 大段日志</t>
        </is>
      </c>
    </row>
    <row r="26" ht="72" customHeight="1">
      <c r="A26" s="5" t="inlineStr">
        <is>
          <t>SDX_E2E_TOTAL_TIME_SEC</t>
        </is>
      </c>
      <c r="B26" s="4" t="inlineStr">
        <is>
          <t>端到端总耗时</t>
        </is>
      </c>
      <c r="C26" s="4" t="inlineStr">
        <is>
          <t>E2E Total Time</t>
        </is>
      </c>
      <c r="D26" s="3" t="inlineStr">
        <is>
          <t>S6(汇总)</t>
        </is>
      </c>
      <c r="E26" s="4" t="inlineStr">
        <is>
          <t>从S0第一次搜索到S6运行成功的总累计时间（含所有步骤的等待时间）</t>
        </is>
      </c>
      <c r="F26" s="4" t="inlineStr">
        <is>
          <t>Agent累加所有步骤的total_duration_seconds</t>
        </is>
      </c>
      <c r="G26" s="4" t="inlineStr">
        <is>
          <t>seconds (秒)</t>
        </is>
      </c>
      <c r="H26" s="10" t="inlineStr">
        <is>
          <t>&lt;900s(15min)=100, &lt;1800s(30min)=75, &lt;3600s(1h)=50, &lt;7200s(2h)=25, ≥7200s=0</t>
        </is>
      </c>
      <c r="I26" s="11" t="inlineStr">
        <is>
          <t>端到端核心体验指标</t>
        </is>
      </c>
    </row>
    <row r="27" ht="72" customHeight="1">
      <c r="A27" s="8" t="inlineStr">
        <is>
          <t>SDX_E2E_SUCCESS_RATE</t>
        </is>
      </c>
      <c r="B27" s="7" t="inlineStr">
        <is>
          <t>端到端成功率</t>
        </is>
      </c>
      <c r="C27" s="7" t="inlineStr">
        <is>
          <t>E2E Success Rate</t>
        </is>
      </c>
      <c r="D27" s="6" t="inlineStr">
        <is>
          <t>S6(汇总)</t>
        </is>
      </c>
      <c r="E27" s="7" t="inlineStr">
        <is>
          <t>严格按Quick Start文档操作，一次性从S0到S6跑通的成功概率</t>
        </is>
      </c>
      <c r="F27" s="7" t="inlineStr">
        <is>
          <t>Agent多次模拟完整旅程，统计成功次数/总次数</t>
        </is>
      </c>
      <c r="G27" s="7" t="inlineStr">
        <is>
          <t>percentage (%)</t>
        </is>
      </c>
      <c r="H27" s="12" t="inlineStr">
        <is>
          <t>直接使用百分比值作为评分
100%=100, 80%=80, 50%=50</t>
        </is>
      </c>
      <c r="I27" s="13" t="inlineStr">
        <is>
          <t>最终质量指标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9488"/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22" customWidth="1" min="4" max="4"/>
    <col width="40" customWidth="1" min="5" max="5"/>
    <col width="28" customWidth="1" min="6" max="6"/>
    <col width="16" customWidth="1" min="7" max="7"/>
    <col width="50" customWidth="1" min="8" max="8"/>
    <col width="24" customWidth="1" min="9" max="9"/>
  </cols>
  <sheetData>
    <row r="1">
      <c r="A1" s="1" t="inlineStr">
        <is>
          <t>客观社区健康指标 (OBJ — OSS-Compass Aligned) 完整定义与评分公式</t>
        </is>
      </c>
    </row>
    <row r="3">
      <c r="A3" s="14" t="inlineStr">
        <is>
          <t>指标ID</t>
        </is>
      </c>
      <c r="B3" s="14" t="inlineStr">
        <is>
          <t>维度</t>
        </is>
      </c>
      <c r="C3" s="14" t="inlineStr">
        <is>
          <t>指标名称(中)</t>
        </is>
      </c>
      <c r="D3" s="14" t="inlineStr">
        <is>
          <t>Metric Name(EN)</t>
        </is>
      </c>
      <c r="E3" s="14" t="inlineStr">
        <is>
          <t>描述</t>
        </is>
      </c>
      <c r="F3" s="14" t="inlineStr">
        <is>
          <t>数据源与采集方式</t>
        </is>
      </c>
      <c r="G3" s="14" t="inlineStr">
        <is>
          <t>量纲</t>
        </is>
      </c>
      <c r="H3" s="14" t="inlineStr">
        <is>
          <t>评分公式 (0-100, 100=最健康)</t>
        </is>
      </c>
      <c r="I3" s="14" t="inlineStr">
        <is>
          <t>备注</t>
        </is>
      </c>
    </row>
    <row r="4" ht="72" customHeight="1">
      <c r="A4" s="5" t="inlineStr">
        <is>
          <t>OBJ_PROD_COMMIT_FREQ</t>
        </is>
      </c>
      <c r="B4" s="15" t="inlineStr">
        <is>
          <t>Productivity</t>
        </is>
      </c>
      <c r="C4" s="4" t="inlineStr">
        <is>
          <t>提交频率</t>
        </is>
      </c>
      <c r="D4" s="4" t="inlineStr">
        <is>
          <t>Commit Frequency</t>
        </is>
      </c>
      <c r="E4" s="4" t="inlineStr">
        <is>
          <t>近90天平均每周commit数（所有分支合计）</t>
        </is>
      </c>
      <c r="F4" s="4" t="inlineStr">
        <is>
          <t>Git log 统计
api_query</t>
        </is>
      </c>
      <c r="G4" s="4" t="inlineStr">
        <is>
          <t>count/week</t>
        </is>
      </c>
      <c r="H4" s="10" t="inlineStr">
        <is>
          <t>&gt;30/w=100, &gt;15/w=80, &gt;5/w=60, &gt;1/w=40, ≤1/w=20</t>
        </is>
      </c>
      <c r="I4" s="11" t="inlineStr">
        <is>
          <t>活跃开发的基本信号</t>
        </is>
      </c>
    </row>
    <row r="5" ht="72" customHeight="1">
      <c r="A5" s="8" t="inlineStr">
        <is>
          <t>OBJ_PROD_PR_MERGE_CYCLE_DAYS</t>
        </is>
      </c>
      <c r="B5" s="15" t="inlineStr">
        <is>
          <t>Productivity</t>
        </is>
      </c>
      <c r="C5" s="7" t="inlineStr">
        <is>
          <t>PR合并周期</t>
        </is>
      </c>
      <c r="D5" s="7" t="inlineStr">
        <is>
          <t>PR Merge Cycle</t>
        </is>
      </c>
      <c r="E5" s="7" t="inlineStr">
        <is>
          <t>近90天从PR创建到合并的中位天数</t>
        </is>
      </c>
      <c r="F5" s="7" t="inlineStr">
        <is>
          <t>Platform API
api_query</t>
        </is>
      </c>
      <c r="G5" s="7" t="inlineStr">
        <is>
          <t>days (天)</t>
        </is>
      </c>
      <c r="H5" s="12" t="inlineStr">
        <is>
          <t>&lt;1d=100, &lt;3d=80, &lt;7d=60, &lt;14d=40, &lt;30d=20, ≥30d=0</t>
        </is>
      </c>
      <c r="I5" s="13" t="inlineStr">
        <is>
          <t>反映代码审查效率</t>
        </is>
      </c>
    </row>
    <row r="6" ht="72" customHeight="1">
      <c r="A6" s="5" t="inlineStr">
        <is>
          <t>OBJ_PROD_ISSUE_RESPONSE_TIME_HRS</t>
        </is>
      </c>
      <c r="B6" s="15" t="inlineStr">
        <is>
          <t>Productivity</t>
        </is>
      </c>
      <c r="C6" s="4" t="inlineStr">
        <is>
          <t>Issue首响时间</t>
        </is>
      </c>
      <c r="D6" s="4" t="inlineStr">
        <is>
          <t>Issue Response Time</t>
        </is>
      </c>
      <c r="E6" s="4" t="inlineStr">
        <is>
          <t>近90天Issue创建后收到首条回复的中位小时数</t>
        </is>
      </c>
      <c r="F6" s="4" t="inlineStr">
        <is>
          <t>Platform API
api_query</t>
        </is>
      </c>
      <c r="G6" s="4" t="inlineStr">
        <is>
          <t>hours (小时)</t>
        </is>
      </c>
      <c r="H6" s="10" t="inlineStr">
        <is>
          <t>&lt;4h=100, &lt;12h=80, &lt;24h=60, &lt;72h=40, &lt;168h(1w)=20, ≥168h=0</t>
        </is>
      </c>
      <c r="I6" s="11" t="inlineStr">
        <is>
          <t>社区响应温度</t>
        </is>
      </c>
    </row>
    <row r="7" ht="72" customHeight="1">
      <c r="A7" s="8" t="inlineStr">
        <is>
          <t>OBJ_PROD_RELEASE_FREQ</t>
        </is>
      </c>
      <c r="B7" s="15" t="inlineStr">
        <is>
          <t>Productivity</t>
        </is>
      </c>
      <c r="C7" s="7" t="inlineStr">
        <is>
          <t>发布频率</t>
        </is>
      </c>
      <c r="D7" s="7" t="inlineStr">
        <is>
          <t>Release Frequency</t>
        </is>
      </c>
      <c r="E7" s="7" t="inlineStr">
        <is>
          <t>近12个月的正式release/tag发布次数</t>
        </is>
      </c>
      <c r="F7" s="7" t="inlineStr">
        <is>
          <t>Git tags / Platform releases
api_query</t>
        </is>
      </c>
      <c r="G7" s="7" t="inlineStr">
        <is>
          <t>count/year</t>
        </is>
      </c>
      <c r="H7" s="12" t="inlineStr">
        <is>
          <t>&gt;12(月更)=100, &gt;6=80, &gt;3(季更)=60, &gt;1(年更)=40, 0=0</t>
        </is>
      </c>
      <c r="I7" s="13" t="inlineStr"/>
    </row>
    <row r="8" ht="72" customHeight="1">
      <c r="A8" s="5" t="inlineStr">
        <is>
          <t>OBJ_PROD_DOC_COVERAGE_RATIO</t>
        </is>
      </c>
      <c r="B8" s="15" t="inlineStr">
        <is>
          <t>Productivity</t>
        </is>
      </c>
      <c r="C8" s="4" t="inlineStr">
        <is>
          <t>文档覆盖率</t>
        </is>
      </c>
      <c r="D8" s="4" t="inlineStr">
        <is>
          <t>Doc Coverage Ratio</t>
        </is>
      </c>
      <c r="E8" s="4" t="inlineStr">
        <is>
          <t>公开API/功能/算子中有文档说明覆盖的比例</t>
        </is>
      </c>
      <c r="F8" s="4" t="inlineStr">
        <is>
          <t>Agent+LLM抽样评估
manual_check</t>
        </is>
      </c>
      <c r="G8" s="4" t="inlineStr">
        <is>
          <t>percentage (%)</t>
        </is>
      </c>
      <c r="H8" s="10" t="inlineStr">
        <is>
          <t>直接使用百分比值: 100%=100, 50%=50</t>
        </is>
      </c>
      <c r="I8" s="11" t="inlineStr">
        <is>
          <t>可用LLM辅助评估</t>
        </is>
      </c>
    </row>
    <row r="9" ht="72" customHeight="1">
      <c r="A9" s="8" t="inlineStr">
        <is>
          <t>OBJ_PROD_CI_PASS_RATE</t>
        </is>
      </c>
      <c r="B9" s="15" t="inlineStr">
        <is>
          <t>Productivity</t>
        </is>
      </c>
      <c r="C9" s="7" t="inlineStr">
        <is>
          <t>CI通过率</t>
        </is>
      </c>
      <c r="D9" s="7" t="inlineStr">
        <is>
          <t>CI Pass Rate</t>
        </is>
      </c>
      <c r="E9" s="7" t="inlineStr">
        <is>
          <t>近30天CI/CD流水线的构建成功率</t>
        </is>
      </c>
      <c r="F9" s="7" t="inlineStr">
        <is>
          <t>CI系统API
api_query</t>
        </is>
      </c>
      <c r="G9" s="7" t="inlineStr">
        <is>
          <t>percentage (%)</t>
        </is>
      </c>
      <c r="H9" s="12" t="inlineStr">
        <is>
          <t>&gt;98%=100, &gt;95%=80, &gt;90%=60, &gt;80%=40, ≤80%=20</t>
        </is>
      </c>
      <c r="I9" s="13" t="inlineStr">
        <is>
          <t>如无公开CI则标记unavailable</t>
        </is>
      </c>
    </row>
    <row r="10" ht="72" customHeight="1">
      <c r="A10" s="5" t="inlineStr">
        <is>
          <t>OBJ_PROD_NEW_CONTRIBUTOR_ONBOARD_DAYS</t>
        </is>
      </c>
      <c r="B10" s="15" t="inlineStr">
        <is>
          <t>Productivity</t>
        </is>
      </c>
      <c r="C10" s="4" t="inlineStr">
        <is>
          <t>新贡献者入门天数</t>
        </is>
      </c>
      <c r="D10" s="4" t="inlineStr">
        <is>
          <t>New Contributor Onboard</t>
        </is>
      </c>
      <c r="E10" s="4" t="inlineStr">
        <is>
          <t>近180天新贡献者从首次交互（Issue/Discussion）到首个PR被合并的中位天数</t>
        </is>
      </c>
      <c r="F10" s="4" t="inlineStr">
        <is>
          <t>Platform API 分析
api_query</t>
        </is>
      </c>
      <c r="G10" s="4" t="inlineStr">
        <is>
          <t>days (天)</t>
        </is>
      </c>
      <c r="H10" s="10" t="inlineStr">
        <is>
          <t>&lt;3d=100, &lt;7d=80, &lt;14d=60, &lt;30d=40, &lt;90d=20, ≥90d=0</t>
        </is>
      </c>
      <c r="I10" s="11" t="inlineStr">
        <is>
          <t>核心生产力指标</t>
        </is>
      </c>
    </row>
    <row r="11" ht="72" customHeight="1">
      <c r="A11" s="8" t="inlineStr">
        <is>
          <t>OBJ_PROD_CONTRIBUTOR_GROWTH_RATE</t>
        </is>
      </c>
      <c r="B11" s="15" t="inlineStr">
        <is>
          <t>Productivity</t>
        </is>
      </c>
      <c r="C11" s="7" t="inlineStr">
        <is>
          <t>贡献者增长率</t>
        </is>
      </c>
      <c r="D11" s="7" t="inlineStr">
        <is>
          <t>Contributor Growth Rate</t>
        </is>
      </c>
      <c r="E11" s="7" t="inlineStr">
        <is>
          <t>近90天新增唯一贡献者（有合并PR或合并commit）数量环比增长率</t>
        </is>
      </c>
      <c r="F11" s="7" t="inlineStr">
        <is>
          <t>Git log 分析
api_query</t>
        </is>
      </c>
      <c r="G11" s="7" t="inlineStr">
        <is>
          <t>percentage (%)</t>
        </is>
      </c>
      <c r="H11" s="12" t="inlineStr">
        <is>
          <t>&gt;50%=100, &gt;20%=80, &gt;5%=60, 0~5%=40, 负增长=20</t>
        </is>
      </c>
      <c r="I11" s="13" t="inlineStr"/>
    </row>
    <row r="12" ht="72" customHeight="1">
      <c r="A12" s="5" t="inlineStr">
        <is>
          <t>OBJ_ROBUST_BUS_FACTOR</t>
        </is>
      </c>
      <c r="B12" s="16" t="inlineStr">
        <is>
          <t>Robustness</t>
        </is>
      </c>
      <c r="C12" s="4" t="inlineStr">
        <is>
          <t>Bus Factor</t>
        </is>
      </c>
      <c r="D12" s="4" t="inlineStr">
        <is>
          <t>Bus Factor</t>
        </is>
      </c>
      <c r="E12" s="4" t="inlineStr">
        <is>
          <t>需要失去多少核心贡献者才会导致项目超过50%的代码无人维护</t>
        </is>
      </c>
      <c r="F12" s="4" t="inlineStr">
        <is>
          <t>Git blame 分析
inferred</t>
        </is>
      </c>
      <c r="G12" s="4" t="inlineStr">
        <is>
          <t>count (人)</t>
        </is>
      </c>
      <c r="H12" s="10" t="inlineStr">
        <is>
          <t>≥5=100, 4=80, 3=60, 2=40, 1=20</t>
        </is>
      </c>
      <c r="I12" s="11" t="inlineStr">
        <is>
          <t>1=极高风险</t>
        </is>
      </c>
    </row>
    <row r="13" ht="72" customHeight="1">
      <c r="A13" s="8" t="inlineStr">
        <is>
          <t>OBJ_ROBUST_ISSUE_REOPEN_RATE</t>
        </is>
      </c>
      <c r="B13" s="16" t="inlineStr">
        <is>
          <t>Robustness</t>
        </is>
      </c>
      <c r="C13" s="7" t="inlineStr">
        <is>
          <t>Issue重开率</t>
        </is>
      </c>
      <c r="D13" s="7" t="inlineStr">
        <is>
          <t>Issue Reopen Rate</t>
        </is>
      </c>
      <c r="E13" s="7" t="inlineStr">
        <is>
          <t>近180天已关闭Issue被重新打开的比例</t>
        </is>
      </c>
      <c r="F13" s="7" t="inlineStr">
        <is>
          <t>Platform API
api_query</t>
        </is>
      </c>
      <c r="G13" s="7" t="inlineStr">
        <is>
          <t>percentage (%)</t>
        </is>
      </c>
      <c r="H13" s="12" t="inlineStr">
        <is>
          <t>&lt;2%=100, &lt;5%=80, &lt;10%=60, &lt;20%=40, ≥20%=20</t>
        </is>
      </c>
      <c r="I13" s="13" t="inlineStr">
        <is>
          <t>高重开率=修复质量差</t>
        </is>
      </c>
    </row>
    <row r="14" ht="72" customHeight="1">
      <c r="A14" s="5" t="inlineStr">
        <is>
          <t>OBJ_ROBUST_DEPENDENCY_FRESHNESS</t>
        </is>
      </c>
      <c r="B14" s="16" t="inlineStr">
        <is>
          <t>Robustness</t>
        </is>
      </c>
      <c r="C14" s="4" t="inlineStr">
        <is>
          <t>依赖新鲜度</t>
        </is>
      </c>
      <c r="D14" s="4" t="inlineStr">
        <is>
          <t>Dependency Freshness</t>
        </is>
      </c>
      <c r="E14" s="4" t="inlineStr">
        <is>
          <t>直接依赖中处于最新大版本（或最新大版本-1）的比例</t>
        </is>
      </c>
      <c r="F14" s="4" t="inlineStr">
        <is>
          <t>依赖分析工具
manual_check</t>
        </is>
      </c>
      <c r="G14" s="4" t="inlineStr">
        <is>
          <t>percentage (%)</t>
        </is>
      </c>
      <c r="H14" s="10" t="inlineStr">
        <is>
          <t>&gt;90%=100, &gt;75%=80, &gt;50%=60, &gt;25%=40, ≤25%=20</t>
        </is>
      </c>
      <c r="I14" s="11" t="inlineStr"/>
    </row>
    <row r="15" ht="72" customHeight="1">
      <c r="A15" s="8" t="inlineStr">
        <is>
          <t>OBJ_ROBUST_SECURITY_ADVISORY_COUNT</t>
        </is>
      </c>
      <c r="B15" s="16" t="inlineStr">
        <is>
          <t>Robustness</t>
        </is>
      </c>
      <c r="C15" s="7" t="inlineStr">
        <is>
          <t>安全公告数</t>
        </is>
      </c>
      <c r="D15" s="7" t="inlineStr">
        <is>
          <t>Security Advisories</t>
        </is>
      </c>
      <c r="E15" s="7" t="inlineStr">
        <is>
          <t>未解决的安全公告（CVE/Security Advisory）数量</t>
        </is>
      </c>
      <c r="F15" s="7" t="inlineStr">
        <is>
          <t>Platform Security API
api_query</t>
        </is>
      </c>
      <c r="G15" s="7" t="inlineStr">
        <is>
          <t>count (个)</t>
        </is>
      </c>
      <c r="H15" s="12" t="inlineStr">
        <is>
          <t>0=100, 1=70, 2-3=50, 4-5=30, &gt;5=10</t>
        </is>
      </c>
      <c r="I15" s="13" t="inlineStr"/>
    </row>
    <row r="16" ht="72" customHeight="1">
      <c r="A16" s="5" t="inlineStr">
        <is>
          <t>OBJ_ROBUST_BUILD_REPRODUCIBILITY</t>
        </is>
      </c>
      <c r="B16" s="16" t="inlineStr">
        <is>
          <t>Robustness</t>
        </is>
      </c>
      <c r="C16" s="4" t="inlineStr">
        <is>
          <t>构建可复现性</t>
        </is>
      </c>
      <c r="D16" s="4" t="inlineStr">
        <is>
          <t>Build Reproducibility</t>
        </is>
      </c>
      <c r="E16" s="4" t="inlineStr">
        <is>
          <t>按文档操作在clean环境（新容器/新VM）中构建成功的概率</t>
        </is>
      </c>
      <c r="F16" s="4" t="inlineStr">
        <is>
          <t>Agent在3个clean环境中测试
manual_check</t>
        </is>
      </c>
      <c r="G16" s="4" t="inlineStr">
        <is>
          <t>percentage (%)</t>
        </is>
      </c>
      <c r="H16" s="10" t="inlineStr">
        <is>
          <t>直接使用百分比值: 100%=100, 70%=70</t>
        </is>
      </c>
      <c r="I16" s="11" t="inlineStr">
        <is>
          <t>端到端最硬的客观指标</t>
        </is>
      </c>
    </row>
    <row r="17" ht="72" customHeight="1">
      <c r="A17" s="8" t="inlineStr">
        <is>
          <t>OBJ_ROBUST_DOC_LINK_ALIVE_RATE</t>
        </is>
      </c>
      <c r="B17" s="16" t="inlineStr">
        <is>
          <t>Robustness</t>
        </is>
      </c>
      <c r="C17" s="7" t="inlineStr">
        <is>
          <t>文档链接存活率</t>
        </is>
      </c>
      <c r="D17" s="7" t="inlineStr">
        <is>
          <t>Doc Link Alive Rate</t>
        </is>
      </c>
      <c r="E17" s="7" t="inlineStr">
        <is>
          <t>QuickStart及README中所有超链接的可访问率</t>
        </is>
      </c>
      <c r="F17" s="7" t="inlineStr">
        <is>
          <t>Agent HTTP HEAD逐一检测
web_scrape</t>
        </is>
      </c>
      <c r="G17" s="7" t="inlineStr">
        <is>
          <t>percentage (%)</t>
        </is>
      </c>
      <c r="H17" s="12" t="inlineStr">
        <is>
          <t>直接使用百分比值: 100%=100, 90%=90</t>
        </is>
      </c>
      <c r="I17" s="13" t="inlineStr">
        <is>
          <t>每季度应检查</t>
        </is>
      </c>
    </row>
    <row r="18" ht="72" customHeight="1">
      <c r="A18" s="5" t="inlineStr">
        <is>
          <t>OBJ_ROBUST_PLATFORM_REDUNDANCY</t>
        </is>
      </c>
      <c r="B18" s="16" t="inlineStr">
        <is>
          <t>Robustness</t>
        </is>
      </c>
      <c r="C18" s="4" t="inlineStr">
        <is>
          <t>平台冗余度</t>
        </is>
      </c>
      <c r="D18" s="4" t="inlineStr">
        <is>
          <t>Platform Redundancy</t>
        </is>
      </c>
      <c r="E18" s="4" t="inlineStr">
        <is>
          <t>代码在几个独立代码托管平台有官方同步镜像</t>
        </is>
      </c>
      <c r="F18" s="4" t="inlineStr">
        <is>
          <t>Agent搜索确认
manual_check</t>
        </is>
      </c>
      <c r="G18" s="4" t="inlineStr">
        <is>
          <t>count (个平台)</t>
        </is>
      </c>
      <c r="H18" s="10" t="inlineStr">
        <is>
          <t>≥3=100, 2=70, 1=50(GitHub)/30(其他), 0=0</t>
        </is>
      </c>
      <c r="I18" s="11" t="inlineStr">
        <is>
          <t>GitHub单平台=50分(SEO优势); 其他单平台=30分</t>
        </is>
      </c>
    </row>
    <row r="19" ht="72" customHeight="1">
      <c r="A19" s="8" t="inlineStr">
        <is>
          <t>OBJ_INNOV_EXTERNAL_CONTRIBUTOR_RATIO</t>
        </is>
      </c>
      <c r="B19" s="17" t="inlineStr">
        <is>
          <t>Innovation</t>
        </is>
      </c>
      <c r="C19" s="7" t="inlineStr">
        <is>
          <t>外部贡献者占比</t>
        </is>
      </c>
      <c r="D19" s="7" t="inlineStr">
        <is>
          <t>External Contributor Ratio</t>
        </is>
      </c>
      <c r="E19" s="7" t="inlineStr">
        <is>
          <t>非核心组织成员（非@huawei.com/@nvidia.com等）的贡献者占总贡献者的比例</t>
        </is>
      </c>
      <c r="F19" s="7" t="inlineStr">
        <is>
          <t>Git log email domain分析
inferred</t>
        </is>
      </c>
      <c r="G19" s="7" t="inlineStr">
        <is>
          <t>percentage (%)</t>
        </is>
      </c>
      <c r="H19" s="12" t="inlineStr">
        <is>
          <t>&gt;50%=100, &gt;30%=80, &gt;15%=60, &gt;5%=40, ≤5%=20</t>
        </is>
      </c>
      <c r="I19" s="13" t="inlineStr">
        <is>
          <t>开放性核心指标</t>
        </is>
      </c>
    </row>
    <row r="20" ht="72" customHeight="1">
      <c r="A20" s="5" t="inlineStr">
        <is>
          <t>OBJ_INNOV_FORK_COUNT</t>
        </is>
      </c>
      <c r="B20" s="17" t="inlineStr">
        <is>
          <t>Innovation</t>
        </is>
      </c>
      <c r="C20" s="4" t="inlineStr">
        <is>
          <t>Fork数</t>
        </is>
      </c>
      <c r="D20" s="4" t="inlineStr">
        <is>
          <t>Fork Count</t>
        </is>
      </c>
      <c r="E20" s="4" t="inlineStr">
        <is>
          <t>仓库被fork的总次数</t>
        </is>
      </c>
      <c r="F20" s="4" t="inlineStr">
        <is>
          <t>Platform API
api_query</t>
        </is>
      </c>
      <c r="G20" s="4" t="inlineStr">
        <is>
          <t>count (个)</t>
        </is>
      </c>
      <c r="H20" s="10" t="inlineStr">
        <is>
          <t>&gt;1000=100, &gt;500=80, &gt;100=60, &gt;20=40, ≤20=20</t>
        </is>
      </c>
      <c r="I20" s="11" t="inlineStr">
        <is>
          <t>需结合项目年龄看</t>
        </is>
      </c>
    </row>
    <row r="21" ht="72" customHeight="1">
      <c r="A21" s="8" t="inlineStr">
        <is>
          <t>OBJ_INNOV_STAR_GROWTH_RATE</t>
        </is>
      </c>
      <c r="B21" s="17" t="inlineStr">
        <is>
          <t>Innovation</t>
        </is>
      </c>
      <c r="C21" s="7" t="inlineStr">
        <is>
          <t>Star增长率</t>
        </is>
      </c>
      <c r="D21" s="7" t="inlineStr">
        <is>
          <t>Star Growth Rate</t>
        </is>
      </c>
      <c r="E21" s="7" t="inlineStr">
        <is>
          <t>近90天Star数环比增长率</t>
        </is>
      </c>
      <c r="F21" s="7" t="inlineStr">
        <is>
          <t>Platform API时间序列
api_query</t>
        </is>
      </c>
      <c r="G21" s="7" t="inlineStr">
        <is>
          <t>percentage (%)</t>
        </is>
      </c>
      <c r="H21" s="12" t="inlineStr">
        <is>
          <t>&gt;100%=100, &gt;30%=80, &gt;10%=60, &gt;0%=40, 负增长=20</t>
        </is>
      </c>
      <c r="I21" s="13" t="inlineStr">
        <is>
          <t>早期项目自然高</t>
        </is>
      </c>
    </row>
    <row r="22" ht="72" customHeight="1">
      <c r="A22" s="5" t="inlineStr">
        <is>
          <t>OBJ_INNOV_FEATURE_VELOCITY</t>
        </is>
      </c>
      <c r="B22" s="17" t="inlineStr">
        <is>
          <t>Innovation</t>
        </is>
      </c>
      <c r="C22" s="4" t="inlineStr">
        <is>
          <t>功能增速</t>
        </is>
      </c>
      <c r="D22" s="4" t="inlineStr">
        <is>
          <t>Feature Velocity</t>
        </is>
      </c>
      <c r="E22" s="4" t="inlineStr">
        <is>
          <t>近90天新增的功能模块/算子/API数量</t>
        </is>
      </c>
      <c r="F22" s="4" t="inlineStr">
        <is>
          <t>Release notes + commit分析
manual_check</t>
        </is>
      </c>
      <c r="G22" s="4" t="inlineStr">
        <is>
          <t>count (个/90天)</t>
        </is>
      </c>
      <c r="H22" s="10" t="inlineStr">
        <is>
          <t>&gt;20=100, &gt;10=80, &gt;5=60, &gt;1=40, 0=20</t>
        </is>
      </c>
      <c r="I22" s="11" t="inlineStr"/>
    </row>
    <row r="23" ht="72" customHeight="1">
      <c r="A23" s="8" t="inlineStr">
        <is>
          <t>OBJ_INNOV_ECOSYSTEM_INTEGRATION_COUNT</t>
        </is>
      </c>
      <c r="B23" s="17" t="inlineStr">
        <is>
          <t>Innovation</t>
        </is>
      </c>
      <c r="C23" s="7" t="inlineStr">
        <is>
          <t>生态集成数</t>
        </is>
      </c>
      <c r="D23" s="7" t="inlineStr">
        <is>
          <t>Ecosystem Integration</t>
        </is>
      </c>
      <c r="E23" s="7" t="inlineStr">
        <is>
          <t>对接的框架/工具/推理引擎数量（如PyTorch、TensorFlow、MindSpore等）</t>
        </is>
      </c>
      <c r="F23" s="7" t="inlineStr">
        <is>
          <t>文档分析
manual_check</t>
        </is>
      </c>
      <c r="G23" s="7" t="inlineStr">
        <is>
          <t>count (个)</t>
        </is>
      </c>
      <c r="H23" s="12" t="inlineStr">
        <is>
          <t>&gt;8=100, &gt;5=80, &gt;3=60, &gt;1=40, 0=0</t>
        </is>
      </c>
      <c r="I23" s="13" t="inlineStr"/>
    </row>
    <row r="24" ht="72" customHeight="1">
      <c r="A24" s="5" t="inlineStr">
        <is>
          <t>OBJ_INNOV_CROSS_PLATFORM_SUPPORT</t>
        </is>
      </c>
      <c r="B24" s="17" t="inlineStr">
        <is>
          <t>Innovation</t>
        </is>
      </c>
      <c r="C24" s="4" t="inlineStr">
        <is>
          <t>跨平台支持</t>
        </is>
      </c>
      <c r="D24" s="4" t="inlineStr">
        <is>
          <t>Cross-Platform Support</t>
        </is>
      </c>
      <c r="E24" s="4" t="inlineStr">
        <is>
          <t>支持的OS × 架构组合数量（如Linux/x86_64, Linux/aarch64等）</t>
        </is>
      </c>
      <c r="F24" s="4" t="inlineStr">
        <is>
          <t>文档分析
manual_check</t>
        </is>
      </c>
      <c r="G24" s="4" t="inlineStr">
        <is>
          <t>count (个组合)</t>
        </is>
      </c>
      <c r="H24" s="10" t="inlineStr">
        <is>
          <t>&gt;6=100, &gt;4=80, &gt;2=60, 1=40</t>
        </is>
      </c>
      <c r="I24" s="11" t="inlineStr"/>
    </row>
    <row r="25" ht="72" customHeight="1">
      <c r="A25" s="8" t="inlineStr">
        <is>
          <t>OBJ_COLLAB_CODE_REVIEW_COVERAGE</t>
        </is>
      </c>
      <c r="B25" s="18" t="inlineStr">
        <is>
          <t>Collaboration</t>
        </is>
      </c>
      <c r="C25" s="7" t="inlineStr">
        <is>
          <t>代码审查覆盖率</t>
        </is>
      </c>
      <c r="D25" s="7" t="inlineStr">
        <is>
          <t>Code Review Coverage</t>
        </is>
      </c>
      <c r="E25" s="7" t="inlineStr">
        <is>
          <t>近90天合并的PR中有至少一条审查评论的比例</t>
        </is>
      </c>
      <c r="F25" s="7" t="inlineStr">
        <is>
          <t>Platform API
api_query</t>
        </is>
      </c>
      <c r="G25" s="7" t="inlineStr">
        <is>
          <t>percentage (%)</t>
        </is>
      </c>
      <c r="H25" s="12" t="inlineStr">
        <is>
          <t>&gt;90%=100, &gt;70%=80, &gt;50%=60, &gt;30%=40, ≤30%=20</t>
        </is>
      </c>
      <c r="I25" s="13" t="inlineStr">
        <is>
          <t>质量门禁指标</t>
        </is>
      </c>
    </row>
    <row r="26" ht="72" customHeight="1">
      <c r="A26" s="5" t="inlineStr">
        <is>
          <t>OBJ_COLLAB_DISCUSSION_ACTIVITY</t>
        </is>
      </c>
      <c r="B26" s="18" t="inlineStr">
        <is>
          <t>Collaboration</t>
        </is>
      </c>
      <c r="C26" s="4" t="inlineStr">
        <is>
          <t>讨论活跃度</t>
        </is>
      </c>
      <c r="D26" s="4" t="inlineStr">
        <is>
          <t>Discussion Activity</t>
        </is>
      </c>
      <c r="E26" s="4" t="inlineStr">
        <is>
          <t>近30天论坛/Discussion/Issue中的讨论帖数（不含bot）</t>
        </is>
      </c>
      <c r="F26" s="4" t="inlineStr">
        <is>
          <t>Platform API
api_query</t>
        </is>
      </c>
      <c r="G26" s="4" t="inlineStr">
        <is>
          <t>count (帖/月)</t>
        </is>
      </c>
      <c r="H26" s="10" t="inlineStr">
        <is>
          <t>&gt;50=100, &gt;20=80, &gt;10=60, &gt;3=40, ≤3=20</t>
        </is>
      </c>
      <c r="I26" s="11" t="inlineStr"/>
    </row>
    <row r="27" ht="72" customHeight="1">
      <c r="A27" s="8" t="inlineStr">
        <is>
          <t>OBJ_COLLAB_MENTORSHIP_PROGRAM</t>
        </is>
      </c>
      <c r="B27" s="18" t="inlineStr">
        <is>
          <t>Collaboration</t>
        </is>
      </c>
      <c r="C27" s="7" t="inlineStr">
        <is>
          <t>导师计划</t>
        </is>
      </c>
      <c r="D27" s="7" t="inlineStr">
        <is>
          <t>Mentorship Program</t>
        </is>
      </c>
      <c r="E27" s="7" t="inlineStr">
        <is>
          <t>是否有面向新手的正式指导机制（如good-first-issue标签、导师分配、入门任务列表）</t>
        </is>
      </c>
      <c r="F27" s="7" t="inlineStr">
        <is>
          <t>Agent检查仓库标签/文档
manual_check</t>
        </is>
      </c>
      <c r="G27" s="7" t="inlineStr">
        <is>
          <t>boolean</t>
        </is>
      </c>
      <c r="H27" s="12" t="inlineStr">
        <is>
          <t>有正式计划+good-first-issue=100
仅有good-first-issue=60
无任何=20</t>
        </is>
      </c>
      <c r="I27" s="13" t="inlineStr"/>
    </row>
    <row r="28" ht="72" customHeight="1">
      <c r="A28" s="5" t="inlineStr">
        <is>
          <t>OBJ_COLLAB_GOVERNANCE_TRANSPARENCY</t>
        </is>
      </c>
      <c r="B28" s="18" t="inlineStr">
        <is>
          <t>Collaboration</t>
        </is>
      </c>
      <c r="C28" s="4" t="inlineStr">
        <is>
          <t>治理透明度</t>
        </is>
      </c>
      <c r="D28" s="4" t="inlineStr">
        <is>
          <t>Governance Transparency</t>
        </is>
      </c>
      <c r="E28" s="4" t="inlineStr">
        <is>
          <t>社区治理规则（贡献指南、决策流程、OWNERS文件）是否公开</t>
        </is>
      </c>
      <c r="F28" s="4" t="inlineStr">
        <is>
          <t>Agent检查CONTRIBUTING.md / OWNERS / 治理文档
manual_check</t>
        </is>
      </c>
      <c r="G28" s="4" t="inlineStr">
        <is>
          <t>boolean</t>
        </is>
      </c>
      <c r="H28" s="10" t="inlineStr">
        <is>
          <t>CONTRIBUTING+OWNERS+治理章程=100
CONTRIBUTING+OWNERS=75
仅CONTRIBUTING=50
无=10</t>
        </is>
      </c>
      <c r="I28" s="11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45309"/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8" customWidth="1" min="4" max="4"/>
    <col width="44" customWidth="1" min="5" max="5"/>
    <col width="44" customWidth="1" min="6" max="6"/>
    <col width="34" customWidth="1" min="7" max="7"/>
  </cols>
  <sheetData>
    <row r="1">
      <c r="A1" s="1" t="inlineStr">
        <is>
          <t>等级判定完整定义 — 步骤级 + 项目级 + 偏离预警</t>
        </is>
      </c>
    </row>
    <row r="3">
      <c r="A3" s="19" t="inlineStr">
        <is>
          <t>4.1 项目综合等级 (基于7步骤综合评分)</t>
        </is>
      </c>
    </row>
    <row r="5">
      <c r="A5" s="20" t="inlineStr">
        <is>
          <t>等级</t>
        </is>
      </c>
      <c r="B5" s="20" t="inlineStr">
        <is>
          <t>分数范围</t>
        </is>
      </c>
      <c r="C5" s="20" t="inlineStr">
        <is>
          <t>等级名称(中)</t>
        </is>
      </c>
      <c r="D5" s="20" t="inlineStr">
        <is>
          <t>Grade Name(EN)</t>
        </is>
      </c>
      <c r="E5" s="20" t="inlineStr">
        <is>
          <t>体验描述</t>
        </is>
      </c>
      <c r="F5" s="20" t="inlineStr">
        <is>
          <t>典型特征</t>
        </is>
      </c>
      <c r="G5" s="20" t="inlineStr">
        <is>
          <t>代表性项目举例</t>
        </is>
      </c>
    </row>
    <row r="6" ht="80" customHeight="1">
      <c r="A6" s="21" t="inlineStr">
        <is>
          <t>A</t>
        </is>
      </c>
      <c r="B6" s="22" t="inlineStr">
        <is>
          <t>90 — 100</t>
        </is>
      </c>
      <c r="C6" s="22" t="inlineStr">
        <is>
          <t>卓越</t>
        </is>
      </c>
      <c r="D6" s="22" t="inlineStr">
        <is>
          <t>Excellent</t>
        </is>
      </c>
      <c r="E6" s="22" t="inlineStr">
        <is>
          <t>外部开发者可在15-30分钟内丝滑跑通Quick Start全流程</t>
        </is>
      </c>
      <c r="F6" s="22" t="inlineStr">
        <is>
          <t>① 搜索首条命中
② 文档完全自包含
③ 环境1-2步就绪
④ 编译&lt;1分钟
⑤ 运行即PASS</t>
        </is>
      </c>
      <c r="G6" s="22" t="inlineStr">
        <is>
          <t>成熟CUDA生态中的部分示例</t>
        </is>
      </c>
    </row>
    <row r="7" ht="80" customHeight="1">
      <c r="A7" s="23" t="inlineStr">
        <is>
          <t>B</t>
        </is>
      </c>
      <c r="B7" s="15" t="inlineStr">
        <is>
          <t>75 — 89</t>
        </is>
      </c>
      <c r="C7" s="15" t="inlineStr">
        <is>
          <t>良好</t>
        </is>
      </c>
      <c r="D7" s="15" t="inlineStr">
        <is>
          <t>Good</t>
        </is>
      </c>
      <c r="E7" s="15" t="inlineStr">
        <is>
          <t>有小摩擦但不阻塞，30分钟-1小时内可完成全流程</t>
        </is>
      </c>
      <c r="F7" s="15" t="inlineStr">
        <is>
          <t>① 搜索1-2轮命中
② 文档需少量外跳
③ 环境3-5步就绪
④ 编译有少量参数选择
⑤ 运行模式清晰</t>
        </is>
      </c>
      <c r="G7" s="15" t="inlineStr">
        <is>
          <t>nvidia/cuda-samples (vectorAdd)</t>
        </is>
      </c>
    </row>
    <row r="8" ht="80" customHeight="1">
      <c r="A8" s="24" t="inlineStr">
        <is>
          <t>C</t>
        </is>
      </c>
      <c r="B8" s="17" t="inlineStr">
        <is>
          <t>60 — 74</t>
        </is>
      </c>
      <c r="C8" s="17" t="inlineStr">
        <is>
          <t>合格</t>
        </is>
      </c>
      <c r="D8" s="17" t="inlineStr">
        <is>
          <t>Acceptable</t>
        </is>
      </c>
      <c r="E8" s="17" t="inlineStr">
        <is>
          <t>存在显著痛点但可绕过，需1-2小时，可能需查阅社区问答</t>
        </is>
      </c>
      <c r="F8" s="17" t="inlineStr">
        <is>
          <t>① 搜索需2-3轮
② 文档跳转3-4次
③ 环境需5-8步
④ 编译有&gt;10个参数
⑤ 首次成功率&gt;70%</t>
        </is>
      </c>
      <c r="G8" s="17" t="inlineStr">
        <is>
          <t>部分ROCm/oneAPI示例</t>
        </is>
      </c>
    </row>
    <row r="9" ht="80" customHeight="1">
      <c r="A9" s="25" t="inlineStr">
        <is>
          <t>D</t>
        </is>
      </c>
      <c r="B9" s="26" t="inlineStr">
        <is>
          <t>40 — 59</t>
        </is>
      </c>
      <c r="C9" s="26" t="inlineStr">
        <is>
          <t>欠佳</t>
        </is>
      </c>
      <c r="D9" s="26" t="inlineStr">
        <is>
          <t>Poor</t>
        </is>
      </c>
      <c r="E9" s="26" t="inlineStr">
        <is>
          <t>多处阻塞需社区求助，超2小时，首次成功率&lt;50%</t>
        </is>
      </c>
      <c r="F9" s="26" t="inlineStr">
        <is>
          <t>① 搜索3+轮或需社区导航
② 文档高度碎片化
③ 环境不持久化
④ 编译报错不友好
⑤ 运行模式混乱</t>
        </is>
      </c>
      <c r="G9" s="26" t="inlineStr">
        <is>
          <t>cann/ops-math (当前状态)</t>
        </is>
      </c>
    </row>
    <row r="10" ht="80" customHeight="1">
      <c r="A10" s="27" t="inlineStr">
        <is>
          <t>F</t>
        </is>
      </c>
      <c r="B10" s="28" t="inlineStr">
        <is>
          <t>0 — 39</t>
        </is>
      </c>
      <c r="C10" s="28" t="inlineStr">
        <is>
          <t>不合格</t>
        </is>
      </c>
      <c r="D10" s="28" t="inlineStr">
        <is>
          <t>Failing</t>
        </is>
      </c>
      <c r="E10" s="28" t="inlineStr">
        <is>
          <t>无法独立完成，需内部团队支持或线下指导</t>
        </is>
      </c>
      <c r="F10" s="28" t="inlineStr">
        <is>
          <t>① 搜索无法定位仓库
② 无Quick Start文档
③ 无云环境+硬件不可获取
④ 编译必须内部工具链
⑤ 示例无法运行</t>
        </is>
      </c>
      <c r="G10" s="28" t="inlineStr">
        <is>
          <t>极早期/内部项目</t>
        </is>
      </c>
    </row>
    <row r="13">
      <c r="A13" s="19" t="inlineStr">
        <is>
          <t>4.2 步骤级痛点等级 (单步骤主观评分)</t>
        </is>
      </c>
    </row>
    <row r="15">
      <c r="A15" s="20" t="inlineStr">
        <is>
          <t>痛点等级</t>
        </is>
      </c>
      <c r="B15" s="20" t="inlineStr">
        <is>
          <t>编码</t>
        </is>
      </c>
      <c r="C15" s="20" t="inlineStr">
        <is>
          <t>分数范围</t>
        </is>
      </c>
      <c r="D15" s="20" t="inlineStr">
        <is>
          <t>等级名称(中)</t>
        </is>
      </c>
      <c r="E15" s="20" t="inlineStr">
        <is>
          <t>Level Name(EN)</t>
        </is>
      </c>
      <c r="F15" s="20" t="inlineStr">
        <is>
          <t>描述</t>
        </is>
      </c>
      <c r="G15" s="20" t="inlineStr">
        <is>
          <t>典型表现</t>
        </is>
      </c>
    </row>
    <row r="16" ht="56" customHeight="1">
      <c r="A16" s="29" t="inlineStr">
        <is>
          <t>🔴🔴</t>
        </is>
      </c>
      <c r="B16" s="30" t="inlineStr">
        <is>
          <t>P0_BLOCKER</t>
        </is>
      </c>
      <c r="C16" s="28" t="inlineStr">
        <is>
          <t>0 — 19</t>
        </is>
      </c>
      <c r="D16" s="28" t="inlineStr">
        <is>
          <t>完全阻塞</t>
        </is>
      </c>
      <c r="E16" s="28" t="inlineStr">
        <is>
          <t>Blocker</t>
        </is>
      </c>
      <c r="F16" s="28" t="inlineStr">
        <is>
          <t>该步骤完全无法通过，开发者被迫放弃或必须寻求内部帮助</t>
        </is>
      </c>
      <c r="G16" s="28" t="inlineStr">
        <is>
          <t>无可用硬件/云环境；仓库不可访问；编译器不存在</t>
        </is>
      </c>
    </row>
    <row r="17" ht="56" customHeight="1">
      <c r="A17" s="29" t="inlineStr">
        <is>
          <t>🔴</t>
        </is>
      </c>
      <c r="B17" s="30" t="inlineStr">
        <is>
          <t>P1_CRITICAL</t>
        </is>
      </c>
      <c r="C17" s="28" t="inlineStr">
        <is>
          <t>20 — 39</t>
        </is>
      </c>
      <c r="D17" s="28" t="inlineStr">
        <is>
          <t>严重</t>
        </is>
      </c>
      <c r="E17" s="28" t="inlineStr">
        <is>
          <t>Critical</t>
        </is>
      </c>
      <c r="F17" s="28" t="inlineStr">
        <is>
          <t>该步骤可能通过但需大量额外努力，大多数开发者在此流失</t>
        </is>
      </c>
      <c r="G17" s="28" t="inlineStr">
        <is>
          <t>环境20分钟初始化且不持久；编译需手动修改源码；无文档</t>
        </is>
      </c>
    </row>
    <row r="18" ht="56" customHeight="1">
      <c r="A18" s="31" t="inlineStr">
        <is>
          <t>🟡</t>
        </is>
      </c>
      <c r="B18" s="32" t="inlineStr">
        <is>
          <t>P2_MAJOR</t>
        </is>
      </c>
      <c r="C18" s="17" t="inlineStr">
        <is>
          <t>40 — 59</t>
        </is>
      </c>
      <c r="D18" s="17" t="inlineStr">
        <is>
          <t>显著</t>
        </is>
      </c>
      <c r="E18" s="17" t="inlineStr">
        <is>
          <t>Major</t>
        </is>
      </c>
      <c r="F18" s="17" t="inlineStr">
        <is>
          <t>该步骤有明显摩擦，需要额外搜索或尝试，但可独立解决</t>
        </is>
      </c>
      <c r="G18" s="17" t="inlineStr">
        <is>
          <t>搜索需3轮；编译参数多但有--help；报错需Google</t>
        </is>
      </c>
    </row>
    <row r="19" ht="56" customHeight="1">
      <c r="A19" s="33" t="inlineStr">
        <is>
          <t>🟢</t>
        </is>
      </c>
      <c r="B19" s="34" t="inlineStr">
        <is>
          <t>P3_MINOR</t>
        </is>
      </c>
      <c r="C19" s="22" t="inlineStr">
        <is>
          <t>60 — 79</t>
        </is>
      </c>
      <c r="D19" s="22" t="inlineStr">
        <is>
          <t>轻微</t>
        </is>
      </c>
      <c r="E19" s="22" t="inlineStr">
        <is>
          <t>Minor</t>
        </is>
      </c>
      <c r="F19" s="22" t="inlineStr">
        <is>
          <t>该步骤有小摩擦但不影响流程推进</t>
        </is>
      </c>
      <c r="G19" s="22" t="inlineStr">
        <is>
          <t>某个链接失效但有替代路径；权限设置不够安全但能工作</t>
        </is>
      </c>
    </row>
    <row r="20" ht="56" customHeight="1">
      <c r="A20" s="35" t="inlineStr">
        <is>
          <t>⚪</t>
        </is>
      </c>
      <c r="B20" s="3" t="inlineStr">
        <is>
          <t>P4_TRIVIAL</t>
        </is>
      </c>
      <c r="C20" s="4" t="inlineStr">
        <is>
          <t>80 — 100</t>
        </is>
      </c>
      <c r="D20" s="4" t="inlineStr">
        <is>
          <t>无感</t>
        </is>
      </c>
      <c r="E20" s="4" t="inlineStr">
        <is>
          <t>Trivial</t>
        </is>
      </c>
      <c r="F20" s="4" t="inlineStr">
        <is>
          <t>该步骤体验流畅，无需额外思考或尝试</t>
        </is>
      </c>
      <c r="G20" s="4" t="inlineStr">
        <is>
          <t>搜索首条命中；一条命令编译成功；输出"Test PASSED"</t>
        </is>
      </c>
    </row>
    <row r="23">
      <c r="A23" s="19" t="inlineStr">
        <is>
          <t>4.3 主观-客观偏离预警等级 (|SDX_score - OBJ_score|)</t>
        </is>
      </c>
    </row>
    <row r="25">
      <c r="A25" s="20" t="inlineStr">
        <is>
          <t>偏离等级</t>
        </is>
      </c>
      <c r="B25" s="20" t="inlineStr">
        <is>
          <t>偏离绝对值范围</t>
        </is>
      </c>
      <c r="C25" s="20" t="inlineStr">
        <is>
          <t>预警名称(中)</t>
        </is>
      </c>
      <c r="D25" s="20" t="inlineStr">
        <is>
          <t>Alert Name(EN)</t>
        </is>
      </c>
      <c r="E25" s="20" t="inlineStr">
        <is>
          <t>含义</t>
        </is>
      </c>
      <c r="F25" s="20" t="inlineStr">
        <is>
          <t>需要的行动</t>
        </is>
      </c>
      <c r="G25" s="20" t="inlineStr">
        <is>
          <t>典型案例</t>
        </is>
      </c>
    </row>
    <row r="26" ht="64" customHeight="1">
      <c r="A26" s="35" t="inlineStr">
        <is>
          <t>⬜ 一致</t>
        </is>
      </c>
      <c r="B26" s="4" t="inlineStr">
        <is>
          <t>0 — 14</t>
        </is>
      </c>
      <c r="C26" s="4" t="inlineStr">
        <is>
          <t>正常</t>
        </is>
      </c>
      <c r="D26" s="4" t="inlineStr">
        <is>
          <t>Normal</t>
        </is>
      </c>
      <c r="E26" s="4" t="inlineStr">
        <is>
          <t>主观体验与客观指标基本吻合，评估结论可信</t>
        </is>
      </c>
      <c r="F26" s="4" t="inlineStr">
        <is>
          <t>无需额外行动</t>
        </is>
      </c>
      <c r="G26" s="4" t="inlineStr">
        <is>
          <t>搜索体验差(SDX=34) + 平台冗余度低(OBJ=38)</t>
        </is>
      </c>
    </row>
    <row r="27" ht="64" customHeight="1">
      <c r="A27" s="36" t="inlineStr">
        <is>
          <t>🟡 轻微偏离</t>
        </is>
      </c>
      <c r="B27" s="7" t="inlineStr">
        <is>
          <t>15 — 24</t>
        </is>
      </c>
      <c r="C27" s="7" t="inlineStr">
        <is>
          <t>轻微偏离</t>
        </is>
      </c>
      <c r="D27" s="7" t="inlineStr">
        <is>
          <t>Minor Divergence</t>
        </is>
      </c>
      <c r="E27" s="7" t="inlineStr">
        <is>
          <t>主观与客观有一定差距，可能存在隐性因素</t>
        </is>
      </c>
      <c r="F27" s="7" t="inlineStr">
        <is>
          <t>标记观察，在下次诊断中重点关注</t>
        </is>
      </c>
      <c r="G27" s="7" t="inlineStr">
        <is>
          <t>CI通过率高(OBJ=80)但本地编译困难(SDX=35)</t>
        </is>
      </c>
    </row>
    <row r="28" ht="64" customHeight="1">
      <c r="A28" s="35" t="inlineStr">
        <is>
          <t>🔴 显著偏离</t>
        </is>
      </c>
      <c r="B28" s="4" t="inlineStr">
        <is>
          <t>25 — 39</t>
        </is>
      </c>
      <c r="C28" s="4" t="inlineStr">
        <is>
          <t>显著偏离</t>
        </is>
      </c>
      <c r="D28" s="4" t="inlineStr">
        <is>
          <t>Major Divergence</t>
        </is>
      </c>
      <c r="E28" s="4" t="inlineStr">
        <is>
          <t>主观与客观严重不一致，存在隐性问题需调查</t>
        </is>
      </c>
      <c r="F28" s="4" t="inlineStr">
        <is>
          <t>必须深入调查根因，形成专项改进建议</t>
        </is>
      </c>
      <c r="G28" s="4" t="inlineStr">
        <is>
          <t>社区活跃(OBJ=75)但新手完全无人引导(SDX=30)</t>
        </is>
      </c>
    </row>
    <row r="29" ht="64" customHeight="1">
      <c r="A29" s="36" t="inlineStr">
        <is>
          <t>🔴🔴 极端偏离</t>
        </is>
      </c>
      <c r="B29" s="7" t="inlineStr">
        <is>
          <t>≥ 40</t>
        </is>
      </c>
      <c r="C29" s="7" t="inlineStr">
        <is>
          <t>极端偏离</t>
        </is>
      </c>
      <c r="D29" s="7" t="inlineStr">
        <is>
          <t>Critical Divergence</t>
        </is>
      </c>
      <c r="E29" s="7" t="inlineStr">
        <is>
          <t>主观与客观完全脱节，评估体系可能存在盲区</t>
        </is>
      </c>
      <c r="F29" s="7" t="inlineStr">
        <is>
          <t>暂停评估，审查指标定义是否遗漏关键维度</t>
        </is>
      </c>
      <c r="G29" s="7" t="inlineStr">
        <is>
          <t>项目Star暴涨(OBJ=90)但Quick Start根本跑不通(SDX=10)</t>
        </is>
      </c>
    </row>
    <row r="32">
      <c r="A32" s="19" t="inlineStr">
        <is>
          <t>4.4 偏离方向分类</t>
        </is>
      </c>
    </row>
    <row r="34">
      <c r="A34" s="20" t="inlineStr">
        <is>
          <t>偏离方向</t>
        </is>
      </c>
      <c r="B34" s="20" t="inlineStr">
        <is>
          <t>条件</t>
        </is>
      </c>
      <c r="C34" s="20" t="inlineStr">
        <is>
          <t>类型名称(中)</t>
        </is>
      </c>
      <c r="D34" s="20" t="inlineStr">
        <is>
          <t>Type Name(EN)</t>
        </is>
      </c>
      <c r="E34" s="20" t="inlineStr">
        <is>
          <t>含义</t>
        </is>
      </c>
      <c r="F34" s="20" t="inlineStr">
        <is>
          <t>常见根因</t>
        </is>
      </c>
      <c r="G34" s="20" t="inlineStr">
        <is>
          <t>修复策略</t>
        </is>
      </c>
    </row>
    <row r="35" ht="90" customHeight="1">
      <c r="A35" s="7" t="inlineStr">
        <is>
          <t>SDX &lt; OBJ</t>
        </is>
      </c>
      <c r="B35" s="7" t="inlineStr">
        <is>
          <t>SDX_score &lt; OBJ_score - 阈值</t>
        </is>
      </c>
      <c r="C35" s="7" t="inlineStr">
        <is>
          <t>暗雷型</t>
        </is>
      </c>
      <c r="D35" s="7" t="inlineStr">
        <is>
          <t>Hidden Mine</t>
        </is>
      </c>
      <c r="E35" s="7" t="inlineStr">
        <is>
          <t>客观指标尚可，但开发者实际体验差。存在文档数据看不到的隐性障碍。</t>
        </is>
      </c>
      <c r="F35" s="7" t="inlineStr">
        <is>
          <t>① 文档信息架构混乱（信息在，但找不到）
② CI覆盖happy path但未照顾新手
③ 社区活跃但新手Issue无人回复
④ API文档全但Quick Start缺失</t>
        </is>
      </c>
      <c r="G35" s="7" t="inlineStr">
        <is>
          <t>以真实新手旅程为锚点重写文档；增加新手Issue标签处理SLA</t>
        </is>
      </c>
    </row>
    <row r="36" ht="90" customHeight="1">
      <c r="A36" s="4" t="inlineStr">
        <is>
          <t>SDX &gt; OBJ</t>
        </is>
      </c>
      <c r="B36" s="4" t="inlineStr">
        <is>
          <t>SDX_score &gt; OBJ_score + 阈值</t>
        </is>
      </c>
      <c r="C36" s="4" t="inlineStr">
        <is>
          <t>高估型</t>
        </is>
      </c>
      <c r="D36" s="4" t="inlineStr">
        <is>
          <t>Overestimate</t>
        </is>
      </c>
      <c r="E36" s="4" t="inlineStr">
        <is>
          <t>开发者体验尚可，但社区客观指标偏弱。体验可能依赖少数关键人物。</t>
        </is>
      </c>
      <c r="F36" s="4" t="inlineStr">
        <is>
          <t>① 核心维护者1-2人响应快但bus factor极低
② Quick Start简单但深度文档缺失
③ 个人体验好但可复现性差（works on my machine）</t>
        </is>
      </c>
      <c r="G36" s="4" t="inlineStr">
        <is>
          <t>提升bus factor；系统化文档而非依赖口碑；增加CI覆盖率</t>
        </is>
      </c>
    </row>
    <row r="39">
      <c r="A39" s="19" t="inlineStr">
        <is>
          <t>4.5 评分计算公式</t>
        </is>
      </c>
    </row>
    <row r="41">
      <c r="A41" s="20" t="inlineStr">
        <is>
          <t>评分项</t>
        </is>
      </c>
      <c r="B41" s="20" t="inlineStr">
        <is>
          <t>变量名</t>
        </is>
      </c>
      <c r="C41" s="20" t="inlineStr">
        <is>
          <t>公式</t>
        </is>
      </c>
      <c r="D41" s="20" t="inlineStr">
        <is>
          <t>说明</t>
        </is>
      </c>
      <c r="E41" s="20" t="inlineStr">
        <is>
          <t>备注</t>
        </is>
      </c>
      <c r="F41" s="20" t="inlineStr"/>
      <c r="G41" s="20" t="inlineStr"/>
    </row>
    <row r="42" ht="36" customHeight="1">
      <c r="A42" s="4" t="inlineStr">
        <is>
          <t>步骤主观评分</t>
        </is>
      </c>
      <c r="B42" s="5" t="inlineStr">
        <is>
          <t>SDX_step_score</t>
        </is>
      </c>
      <c r="C42" s="10">
        <f> avg(该步骤所有SDX指标的score)</f>
        <v/>
      </c>
      <c r="D42" s="4" t="inlineStr">
        <is>
          <t>步骤内各主观指标的算术平均</t>
        </is>
      </c>
      <c r="E42" s="11" t="inlineStr"/>
      <c r="F42" s="4" t="inlineStr"/>
      <c r="G42" s="4" t="inlineStr"/>
    </row>
    <row r="43" ht="36" customHeight="1">
      <c r="A43" s="7" t="inlineStr">
        <is>
          <t>步骤客观评分</t>
        </is>
      </c>
      <c r="B43" s="8" t="inlineStr">
        <is>
          <t>OBJ_step_score</t>
        </is>
      </c>
      <c r="C43" s="12">
        <f> avg(该步骤所有OBJ指标的score, where data_available=true)</f>
        <v/>
      </c>
      <c r="D43" s="7" t="inlineStr">
        <is>
          <t>步骤内各可用客观指标的算术平均</t>
        </is>
      </c>
      <c r="E43" s="13" t="inlineStr"/>
      <c r="F43" s="7" t="inlineStr"/>
      <c r="G43" s="7" t="inlineStr"/>
    </row>
    <row r="44" ht="36" customHeight="1">
      <c r="A44" s="4" t="inlineStr">
        <is>
          <t>步骤综合评分</t>
        </is>
      </c>
      <c r="B44" s="5" t="inlineStr">
        <is>
          <t>step_composite</t>
        </is>
      </c>
      <c r="C44" s="10">
        <f> 0.5 × SDX_step_score + 0.5 × OBJ_step_score</f>
        <v/>
      </c>
      <c r="D44" s="4" t="inlineStr">
        <is>
          <t>主客观等权加权</t>
        </is>
      </c>
      <c r="E44" s="11" t="inlineStr">
        <is>
          <t>如OBJ不可用: = SDX_step_score</t>
        </is>
      </c>
      <c r="F44" s="4" t="inlineStr"/>
      <c r="G44" s="4" t="inlineStr"/>
    </row>
    <row r="45" ht="36" customHeight="1">
      <c r="A45" s="7" t="inlineStr">
        <is>
          <t>项目主观总分</t>
        </is>
      </c>
      <c r="B45" s="8" t="inlineStr">
        <is>
          <t>project_SDX_avg</t>
        </is>
      </c>
      <c r="C45" s="12">
        <f> avg(所有7个步骤的SDX_step_score)</f>
        <v/>
      </c>
      <c r="D45" s="7" t="inlineStr">
        <is>
          <t>7步骤主观评分的算术平均</t>
        </is>
      </c>
      <c r="E45" s="13" t="inlineStr"/>
      <c r="F45" s="7" t="inlineStr"/>
      <c r="G45" s="7" t="inlineStr"/>
    </row>
    <row r="46" ht="36" customHeight="1">
      <c r="A46" s="4" t="inlineStr">
        <is>
          <t>项目客观总分</t>
        </is>
      </c>
      <c r="B46" s="5" t="inlineStr">
        <is>
          <t>project_OBJ_avg</t>
        </is>
      </c>
      <c r="C46" s="10">
        <f> avg(所有7个步骤的OBJ_step_score)</f>
        <v/>
      </c>
      <c r="D46" s="4" t="inlineStr">
        <is>
          <t>7步骤客观评分的算术平均</t>
        </is>
      </c>
      <c r="E46" s="11" t="inlineStr"/>
      <c r="F46" s="4" t="inlineStr"/>
      <c r="G46" s="4" t="inlineStr"/>
    </row>
    <row r="47" ht="36" customHeight="1">
      <c r="A47" s="7" t="inlineStr">
        <is>
          <t>项目综合总分</t>
        </is>
      </c>
      <c r="B47" s="8" t="inlineStr">
        <is>
          <t>project_composite</t>
        </is>
      </c>
      <c r="C47" s="12">
        <f> 0.5 × project_SDX_avg + 0.5 × project_OBJ_avg</f>
        <v/>
      </c>
      <c r="D47" s="7" t="inlineStr">
        <is>
          <t>最终等级判定依据</t>
        </is>
      </c>
      <c r="E47" s="13" t="inlineStr">
        <is>
          <t>→ 查4.1表确定等级</t>
        </is>
      </c>
      <c r="F47" s="7" t="inlineStr"/>
      <c r="G47" s="7" t="inlineStr"/>
    </row>
    <row r="48" ht="36" customHeight="1">
      <c r="A48" s="4" t="inlineStr">
        <is>
          <t>偏离值</t>
        </is>
      </c>
      <c r="B48" s="5" t="inlineStr">
        <is>
          <t>divergence</t>
        </is>
      </c>
      <c r="C48" s="10">
        <f> |SDX_step_score - OBJ_step_score|</f>
        <v/>
      </c>
      <c r="D48" s="4" t="inlineStr">
        <is>
          <t>逐步骤计算</t>
        </is>
      </c>
      <c r="E48" s="11" t="inlineStr">
        <is>
          <t>→ 查4.3表确定预警等级</t>
        </is>
      </c>
      <c r="F48" s="4" t="inlineStr"/>
      <c r="G48" s="4" t="inlineStr"/>
    </row>
  </sheetData>
  <mergeCells count="6">
    <mergeCell ref="A32:G32"/>
    <mergeCell ref="A13:G13"/>
    <mergeCell ref="A1:G1"/>
    <mergeCell ref="A3:G3"/>
    <mergeCell ref="A39:G39"/>
    <mergeCell ref="A23:G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338CA"/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36" customWidth="1" min="4" max="4"/>
    <col width="12" customWidth="1" min="5" max="5"/>
    <col width="36" customWidth="1" min="6" max="6"/>
    <col width="12" customWidth="1" min="7" max="7"/>
    <col width="24" customWidth="1" min="8" max="8"/>
    <col width="14" customWidth="1" min="9" max="9"/>
  </cols>
  <sheetData>
    <row r="1">
      <c r="A1" s="1" t="inlineStr">
        <is>
          <t>步骤 × 指标 归属矩阵 (哪个步骤采集哪些指标)</t>
        </is>
      </c>
    </row>
    <row r="3">
      <c r="A3" s="37" t="inlineStr">
        <is>
          <t>步骤ID</t>
        </is>
      </c>
      <c r="B3" s="37" t="inlineStr">
        <is>
          <t>步骤名称</t>
        </is>
      </c>
      <c r="C3" s="37" t="inlineStr">
        <is>
          <t>SDX指标数</t>
        </is>
      </c>
      <c r="D3" s="37" t="inlineStr">
        <is>
          <t>SDX指标ID列表</t>
        </is>
      </c>
      <c r="E3" s="37" t="inlineStr">
        <is>
          <t>OBJ指标数</t>
        </is>
      </c>
      <c r="F3" s="37" t="inlineStr">
        <is>
          <t>OBJ指标ID列表</t>
        </is>
      </c>
      <c r="G3" s="37" t="inlineStr">
        <is>
          <t>总指标数</t>
        </is>
      </c>
      <c r="H3" s="37" t="inlineStr">
        <is>
          <t>Agent节点</t>
        </is>
      </c>
      <c r="I3" s="37" t="inlineStr">
        <is>
          <t>预计耗时占比</t>
        </is>
      </c>
    </row>
    <row r="4" ht="100" customHeight="1">
      <c r="A4" s="3" t="inlineStr">
        <is>
          <t>S0_DISCOVER</t>
        </is>
      </c>
      <c r="B4" s="4" t="inlineStr">
        <is>
          <t>搜索与发现</t>
        </is>
      </c>
      <c r="C4" s="4" t="n">
        <v>5</v>
      </c>
      <c r="D4" s="5" t="inlineStr">
        <is>
          <t>SDX_SEARCH_ROUNDS
SDX_SEARCH_TIME_SEC
SDX_SEARCH_DIRECT_HIT_RATE
SDX_NAMING_CONFUSION_COUNT
SDX_PLATFORM_MIGRATION_FRICTION</t>
        </is>
      </c>
      <c r="E4" s="4" t="n">
        <v>3</v>
      </c>
      <c r="F4" s="5" t="inlineStr">
        <is>
          <t>OBJ_ROBUST_PLATFORM_REDUNDANCY
OBJ_INNOV_FORK_COUNT
OBJ_INNOV_STAR_GROWTH_RATE</t>
        </is>
      </c>
      <c r="G4" s="4" t="n">
        <v>8</v>
      </c>
      <c r="H4" s="5" t="inlineStr">
        <is>
          <t>discovery_agent</t>
        </is>
      </c>
      <c r="I4" s="4" t="inlineStr">
        <is>
          <t>~10%</t>
        </is>
      </c>
    </row>
    <row r="5" ht="100" customHeight="1">
      <c r="A5" s="6" t="inlineStr">
        <is>
          <t>S1_COMPREHEND</t>
        </is>
      </c>
      <c r="B5" s="7" t="inlineStr">
        <is>
          <t>理解与导航</t>
        </is>
      </c>
      <c r="C5" s="7" t="n">
        <v>3</v>
      </c>
      <c r="D5" s="8" t="inlineStr">
        <is>
          <t>SDX_DOC_JUMPS
SDX_DOC_SELF_CONTAINED_RATIO
SDX_DOC_DEAD_LINKS</t>
        </is>
      </c>
      <c r="E5" s="7" t="n">
        <v>2</v>
      </c>
      <c r="F5" s="8" t="inlineStr">
        <is>
          <t>OBJ_PROD_DOC_COVERAGE_RATIO
OBJ_ROBUST_DOC_LINK_ALIVE_RATE</t>
        </is>
      </c>
      <c r="G5" s="7" t="n">
        <v>5</v>
      </c>
      <c r="H5" s="8" t="inlineStr">
        <is>
          <t>doc_navigator_agent</t>
        </is>
      </c>
      <c r="I5" s="7" t="inlineStr">
        <is>
          <t>~10%</t>
        </is>
      </c>
    </row>
    <row r="6" ht="100" customHeight="1">
      <c r="A6" s="3" t="inlineStr">
        <is>
          <t>S2_ENVIRONMENT</t>
        </is>
      </c>
      <c r="B6" s="4" t="inlineStr">
        <is>
          <t>环境准备</t>
        </is>
      </c>
      <c r="C6" s="4" t="n">
        <v>5</v>
      </c>
      <c r="D6" s="5" t="inlineStr">
        <is>
          <t>SDX_ENV_INIT_TIME_SEC
SDX_ENV_PERSISTENCE
SDX_ENV_HARDWARE_COST_USD
SDX_ENV_STEP_COUNT
SDX_ENV_CLOUD_SESSION_LIMIT_SEC</t>
        </is>
      </c>
      <c r="E6" s="4" t="n">
        <v>2</v>
      </c>
      <c r="F6" s="5" t="inlineStr">
        <is>
          <t>OBJ_PROD_NEW_CONTRIBUTOR_ONBOARD_DAYS
OBJ_ROBUST_BUILD_REPRODUCIBILITY</t>
        </is>
      </c>
      <c r="G6" s="4" t="n">
        <v>7</v>
      </c>
      <c r="H6" s="5" t="inlineStr">
        <is>
          <t>env_setup_agent</t>
        </is>
      </c>
      <c r="I6" s="4" t="inlineStr">
        <is>
          <t>~25%</t>
        </is>
      </c>
    </row>
    <row r="7" ht="100" customHeight="1">
      <c r="A7" s="6" t="inlineStr">
        <is>
          <t>S3_ACQUIRE</t>
        </is>
      </c>
      <c r="B7" s="7" t="inlineStr">
        <is>
          <t>获取代码</t>
        </is>
      </c>
      <c r="C7" s="7" t="n">
        <v>2</v>
      </c>
      <c r="D7" s="8" t="inlineStr">
        <is>
          <t>SDX_CLONE_SUCCESS_RATE
SDX_DEPENDENCY_TRANSPARENCY</t>
        </is>
      </c>
      <c r="E7" s="7" t="n">
        <v>1</v>
      </c>
      <c r="F7" s="8" t="inlineStr">
        <is>
          <t>OBJ_ROBUST_DEPENDENCY_FRESHNESS</t>
        </is>
      </c>
      <c r="G7" s="7" t="n">
        <v>3</v>
      </c>
      <c r="H7" s="8" t="inlineStr">
        <is>
          <t>code_acquisition_agent</t>
        </is>
      </c>
      <c r="I7" s="7" t="inlineStr">
        <is>
          <t>~5%</t>
        </is>
      </c>
    </row>
    <row r="8" ht="100" customHeight="1">
      <c r="A8" s="3" t="inlineStr">
        <is>
          <t>S4_BUILD</t>
        </is>
      </c>
      <c r="B8" s="4" t="inlineStr">
        <is>
          <t>编译构建</t>
        </is>
      </c>
      <c r="C8" s="4" t="n">
        <v>3</v>
      </c>
      <c r="D8" s="5" t="inlineStr">
        <is>
          <t>SDX_BUILD_TIME_SEC
SDX_BUILD_PARAM_COUNT
SDX_BUILD_ERROR_DIAGNOSABILITY</t>
        </is>
      </c>
      <c r="E8" s="4" t="n">
        <v>2</v>
      </c>
      <c r="F8" s="5" t="inlineStr">
        <is>
          <t>OBJ_PROD_CI_PASS_RATE
OBJ_PROD_COMMIT_FREQ</t>
        </is>
      </c>
      <c r="G8" s="4" t="n">
        <v>5</v>
      </c>
      <c r="H8" s="5" t="inlineStr">
        <is>
          <t>build_agent</t>
        </is>
      </c>
      <c r="I8" s="4" t="inlineStr">
        <is>
          <t>~15%</t>
        </is>
      </c>
    </row>
    <row r="9" ht="100" customHeight="1">
      <c r="A9" s="6" t="inlineStr">
        <is>
          <t>S5_DEPLOY</t>
        </is>
      </c>
      <c r="B9" s="7" t="inlineStr">
        <is>
          <t>部署安装</t>
        </is>
      </c>
      <c r="C9" s="7" t="n">
        <v>2</v>
      </c>
      <c r="D9" s="8" t="inlineStr">
        <is>
          <t>SDX_DEPLOY_VERIFY_AVAILABLE
SDX_DEPLOY_IDEMPOTENT</t>
        </is>
      </c>
      <c r="E9" s="7" t="n">
        <v>2</v>
      </c>
      <c r="F9" s="8" t="inlineStr">
        <is>
          <t>OBJ_PROD_RELEASE_FREQ
OBJ_ROBUST_SECURITY_ADVISORY_COUNT</t>
        </is>
      </c>
      <c r="G9" s="7" t="n">
        <v>4</v>
      </c>
      <c r="H9" s="8" t="inlineStr">
        <is>
          <t>deploy_agent</t>
        </is>
      </c>
      <c r="I9" s="7" t="inlineStr">
        <is>
          <t>~10%</t>
        </is>
      </c>
    </row>
    <row r="10" ht="100" customHeight="1">
      <c r="A10" s="3" t="inlineStr">
        <is>
          <t>S6_VERIFY</t>
        </is>
      </c>
      <c r="B10" s="4" t="inlineStr">
        <is>
          <t>运行验证</t>
        </is>
      </c>
      <c r="C10" s="4" t="n">
        <v>4</v>
      </c>
      <c r="D10" s="5" t="inlineStr">
        <is>
          <t>SDX_RUN_MODE_COMBINATIONS
SDX_RUN_OUTPUT_READABILITY
SDX_E2E_TOTAL_TIME_SEC
SDX_E2E_SUCCESS_RATE</t>
        </is>
      </c>
      <c r="E10" s="4" t="n">
        <v>3</v>
      </c>
      <c r="F10" s="5" t="inlineStr">
        <is>
          <t>OBJ_INNOV_EXTERNAL_CONTRIBUTOR_RATIO
OBJ_INNOV_FEATURE_VELOCITY
OBJ_INNOV_ECOSYSTEM_INTEGRATION_COUNT</t>
        </is>
      </c>
      <c r="G10" s="4" t="n">
        <v>7</v>
      </c>
      <c r="H10" s="5" t="inlineStr">
        <is>
          <t>verify_agent</t>
        </is>
      </c>
      <c r="I10" s="4" t="inlineStr">
        <is>
          <t>~15%</t>
        </is>
      </c>
    </row>
    <row r="11" ht="100" customHeight="1">
      <c r="A11" s="6" t="inlineStr">
        <is>
          <t>—</t>
        </is>
      </c>
      <c r="B11" s="7" t="inlineStr">
        <is>
          <t>分析阶段(非旅程步骤)</t>
        </is>
      </c>
      <c r="C11" s="7" t="n">
        <v>0</v>
      </c>
      <c r="D11" s="8" t="inlineStr">
        <is>
          <t>—</t>
        </is>
      </c>
      <c r="E11" s="7" t="n">
        <v>8</v>
      </c>
      <c r="F11" s="8" t="inlineStr">
        <is>
          <t>OBJ_PROD_PR_MERGE_CYCLE_DAYS
OBJ_PROD_ISSUE_RESPONSE_TIME_HRS
OBJ_PROD_CONTRIBUTOR_GROWTH_RATE
OBJ_ROBUST_BUS_FACTOR
OBJ_ROBUST_ISSUE_REOPEN_RATE
OBJ_INNOV_CROSS_PLATFORM_SUPPORT
OBJ_COLLAB_CODE_REVIEW_COVERAGE
OBJ_COLLAB_DISCUSSION_ACTIVITY
OBJ_COLLAB_MENTORSHIP_PROGRAM
OBJ_COLLAB_GOVERNANCE_TRANSPARENCY</t>
        </is>
      </c>
      <c r="G11" s="7" t="n">
        <v>8</v>
      </c>
      <c r="H11" s="8" t="inlineStr">
        <is>
          <t>comparator_agent
correlation_analyzer</t>
        </is>
      </c>
      <c r="I11" s="7" t="inlineStr">
        <is>
          <t>~10%</t>
        </is>
      </c>
    </row>
    <row r="12">
      <c r="A12" s="38" t="inlineStr">
        <is>
          <t>汇总</t>
        </is>
      </c>
      <c r="B12" s="38" t="inlineStr">
        <is>
          <t>全旅程</t>
        </is>
      </c>
      <c r="C12" s="38" t="n">
        <v>24</v>
      </c>
      <c r="D12" s="38" t="inlineStr">
        <is>
          <t>24个SDX指标</t>
        </is>
      </c>
      <c r="E12" s="38" t="n">
        <v>24</v>
      </c>
      <c r="F12" s="38" t="inlineStr">
        <is>
          <t>24个OBJ指标</t>
        </is>
      </c>
      <c r="G12" s="38" t="n">
        <v>48</v>
      </c>
      <c r="H12" s="38" t="inlineStr">
        <is>
          <t>11个Agent节点</t>
        </is>
      </c>
      <c r="I12" s="38" t="inlineStr">
        <is>
          <t>100%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2026-03-16T08:36:00Z</dcterms:created>
  <dcterms:modified xmlns:dcterms="http://purl.org/dc/terms/" xmlns:xsi="http://www.w3.org/2001/XMLSchema-instance" xsi:type="dcterms:W3CDTF">2026-03-16T08:36:00Z</dcterms:modified>
</cp:coreProperties>
</file>